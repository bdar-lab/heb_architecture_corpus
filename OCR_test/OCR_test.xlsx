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X:\Data\Research Projects\corpus_architecture\OCR examination\"/>
    </mc:Choice>
  </mc:AlternateContent>
  <xr:revisionPtr revIDLastSave="0" documentId="8_{5C38B500-E91F-41BE-AE75-2273EA1F0479}" xr6:coauthVersionLast="47" xr6:coauthVersionMax="47" xr10:uidLastSave="{00000000-0000-0000-0000-000000000000}"/>
  <bookViews>
    <workbookView xWindow="-120" yWindow="-120" windowWidth="29040" windowHeight="15720" xr2:uid="{D023072C-A3BA-4676-A100-5D66947A9151}"/>
  </bookViews>
  <sheets>
    <sheet name="Sheet1" sheetId="2"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43" i="2" l="1"/>
  <c r="R4" i="2"/>
  <c r="V4" i="2" s="1"/>
  <c r="R5" i="2"/>
  <c r="V5" i="2" s="1"/>
  <c r="R6" i="2"/>
  <c r="V6" i="2" s="1"/>
  <c r="R7" i="2"/>
  <c r="R8" i="2"/>
  <c r="R9" i="2"/>
  <c r="R10" i="2"/>
  <c r="U10" i="2" s="1"/>
  <c r="R11" i="2"/>
  <c r="R12" i="2"/>
  <c r="R13" i="2"/>
  <c r="R14" i="2"/>
  <c r="R15" i="2"/>
  <c r="R16" i="2"/>
  <c r="R17" i="2"/>
  <c r="R18" i="2"/>
  <c r="R19" i="2"/>
  <c r="R20" i="2"/>
  <c r="U20" i="2" s="1"/>
  <c r="R21" i="2"/>
  <c r="R22" i="2"/>
  <c r="U22" i="2" s="1"/>
  <c r="R23" i="2"/>
  <c r="U23" i="2" s="1"/>
  <c r="R24" i="2"/>
  <c r="R25" i="2"/>
  <c r="U25" i="2" s="1"/>
  <c r="R26" i="2"/>
  <c r="R27" i="2"/>
  <c r="U27" i="2" s="1"/>
  <c r="R28" i="2"/>
  <c r="R29" i="2"/>
  <c r="R30" i="2"/>
  <c r="V30" i="2" s="1"/>
  <c r="R31" i="2"/>
  <c r="V31" i="2" s="1"/>
  <c r="R32" i="2"/>
  <c r="R33" i="2"/>
  <c r="R34" i="2"/>
  <c r="R35" i="2"/>
  <c r="U35" i="2" s="1"/>
  <c r="R36" i="2"/>
  <c r="W36" i="2" s="1"/>
  <c r="R37" i="2"/>
  <c r="R38" i="2"/>
  <c r="R39" i="2"/>
  <c r="U39" i="2" s="1"/>
  <c r="R40" i="2"/>
  <c r="R41" i="2"/>
  <c r="R42" i="2"/>
  <c r="R44" i="2"/>
  <c r="R45" i="2"/>
  <c r="R46" i="2"/>
  <c r="R47" i="2"/>
  <c r="R48" i="2"/>
  <c r="R49" i="2"/>
  <c r="R50" i="2"/>
  <c r="R51" i="2"/>
  <c r="V51" i="2" s="1"/>
  <c r="R52" i="2"/>
  <c r="V52" i="2" s="1"/>
  <c r="R53" i="2"/>
  <c r="R54" i="2"/>
  <c r="V54" i="2" s="1"/>
  <c r="R55" i="2"/>
  <c r="W55" i="2" s="1"/>
  <c r="R56" i="2"/>
  <c r="R57" i="2"/>
  <c r="R58" i="2"/>
  <c r="R59" i="2"/>
  <c r="R60" i="2"/>
  <c r="R61" i="2"/>
  <c r="R62" i="2"/>
  <c r="R63" i="2"/>
  <c r="R64" i="2"/>
  <c r="R65" i="2"/>
  <c r="R66" i="2"/>
  <c r="R67" i="2"/>
  <c r="V67" i="2" s="1"/>
  <c r="R68" i="2"/>
  <c r="V68" i="2" s="1"/>
  <c r="R69" i="2"/>
  <c r="R70" i="2"/>
  <c r="V70" i="2" s="1"/>
  <c r="R71" i="2"/>
  <c r="V71" i="2" s="1"/>
  <c r="R72" i="2"/>
  <c r="R73" i="2"/>
  <c r="R74" i="2"/>
  <c r="R75" i="2"/>
  <c r="R76" i="2"/>
  <c r="R77" i="2"/>
  <c r="R78" i="2"/>
  <c r="R79" i="2"/>
  <c r="R80" i="2"/>
  <c r="R81" i="2"/>
  <c r="R82" i="2"/>
  <c r="R83" i="2"/>
  <c r="V83" i="2" s="1"/>
  <c r="R84" i="2"/>
  <c r="V84" i="2" s="1"/>
  <c r="R85" i="2"/>
  <c r="R86" i="2"/>
  <c r="V86" i="2" s="1"/>
  <c r="R87" i="2"/>
  <c r="V87" i="2" s="1"/>
  <c r="R88" i="2"/>
  <c r="R89" i="2"/>
  <c r="R90" i="2"/>
  <c r="R91" i="2"/>
  <c r="R92" i="2"/>
  <c r="R93" i="2"/>
  <c r="R94" i="2"/>
  <c r="R95" i="2"/>
  <c r="R96" i="2"/>
  <c r="R97" i="2"/>
  <c r="R98" i="2"/>
  <c r="R99" i="2"/>
  <c r="V99" i="2" s="1"/>
  <c r="R100" i="2"/>
  <c r="V100" i="2" s="1"/>
  <c r="R101" i="2"/>
  <c r="R3" i="2"/>
  <c r="R2" i="2"/>
  <c r="W2" i="2"/>
  <c r="W3" i="2"/>
  <c r="W4" i="2"/>
  <c r="W5" i="2"/>
  <c r="W6" i="2"/>
  <c r="W15" i="2"/>
  <c r="W16" i="2"/>
  <c r="W17" i="2"/>
  <c r="W18" i="2"/>
  <c r="W19" i="2"/>
  <c r="W20" i="2"/>
  <c r="W21" i="2"/>
  <c r="W22" i="2"/>
  <c r="W23" i="2"/>
  <c r="W24" i="2"/>
  <c r="W25" i="2"/>
  <c r="W26" i="2"/>
  <c r="W27" i="2"/>
  <c r="W28" i="2"/>
  <c r="W29" i="2"/>
  <c r="W30" i="2"/>
  <c r="W31" i="2"/>
  <c r="W32" i="2"/>
  <c r="W33" i="2"/>
  <c r="W38" i="2"/>
  <c r="W39" i="2"/>
  <c r="W40" i="2"/>
  <c r="W44" i="2"/>
  <c r="W45" i="2"/>
  <c r="W46" i="2"/>
  <c r="W47" i="2"/>
  <c r="W48" i="2"/>
  <c r="W49" i="2"/>
  <c r="W50" i="2"/>
  <c r="W51" i="2"/>
  <c r="W52" i="2"/>
  <c r="W54"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V2" i="2"/>
  <c r="V34" i="2"/>
  <c r="V35" i="2"/>
  <c r="V36" i="2"/>
  <c r="V37" i="2"/>
  <c r="V38" i="2"/>
  <c r="V39" i="2"/>
  <c r="V40" i="2"/>
  <c r="V41" i="2"/>
  <c r="V42" i="2"/>
  <c r="V43" i="2"/>
  <c r="V44" i="2"/>
  <c r="V55" i="2"/>
  <c r="V56" i="2"/>
  <c r="V57" i="2"/>
  <c r="V58" i="2"/>
  <c r="V59" i="2"/>
  <c r="V60" i="2"/>
  <c r="V61" i="2"/>
  <c r="V3" i="2"/>
  <c r="V7" i="2"/>
  <c r="V8" i="2"/>
  <c r="V9" i="2"/>
  <c r="V10" i="2"/>
  <c r="V11" i="2"/>
  <c r="V12" i="2"/>
  <c r="V13" i="2"/>
  <c r="V14" i="2"/>
  <c r="V16" i="2"/>
  <c r="V17" i="2"/>
  <c r="V18" i="2"/>
  <c r="V20" i="2"/>
  <c r="V21" i="2"/>
  <c r="V22" i="2"/>
  <c r="V23" i="2"/>
  <c r="V24" i="2"/>
  <c r="V25" i="2"/>
  <c r="V26" i="2"/>
  <c r="V27" i="2"/>
  <c r="V29" i="2"/>
  <c r="U4" i="2"/>
  <c r="U5" i="2"/>
  <c r="U6" i="2"/>
  <c r="U15" i="2"/>
  <c r="U19" i="2"/>
  <c r="U28" i="2"/>
  <c r="U30" i="2"/>
  <c r="U31" i="2"/>
  <c r="U32" i="2"/>
  <c r="U33" i="2"/>
  <c r="U45" i="2"/>
  <c r="U46" i="2"/>
  <c r="U47" i="2"/>
  <c r="U48" i="2"/>
  <c r="U49" i="2"/>
  <c r="U50" i="2"/>
  <c r="U51" i="2"/>
  <c r="U52" i="2"/>
  <c r="U53" i="2"/>
  <c r="U54"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V101" i="2"/>
  <c r="V98" i="2"/>
  <c r="V97" i="2"/>
  <c r="V96" i="2"/>
  <c r="V95" i="2"/>
  <c r="V94" i="2"/>
  <c r="V93" i="2"/>
  <c r="V92" i="2"/>
  <c r="V91" i="2"/>
  <c r="V90" i="2"/>
  <c r="V89" i="2"/>
  <c r="V88" i="2"/>
  <c r="V85" i="2"/>
  <c r="V82" i="2"/>
  <c r="V81" i="2"/>
  <c r="V80" i="2"/>
  <c r="V79" i="2"/>
  <c r="V78" i="2"/>
  <c r="V77" i="2"/>
  <c r="V76" i="2"/>
  <c r="V75" i="2"/>
  <c r="V74" i="2"/>
  <c r="V73" i="2"/>
  <c r="V72" i="2"/>
  <c r="V69" i="2"/>
  <c r="V66" i="2"/>
  <c r="V65" i="2"/>
  <c r="V64" i="2"/>
  <c r="V63" i="2"/>
  <c r="V62" i="2"/>
  <c r="U61" i="2"/>
  <c r="U60" i="2"/>
  <c r="U59" i="2"/>
  <c r="U58" i="2"/>
  <c r="U57" i="2"/>
  <c r="U56" i="2"/>
  <c r="V53" i="2"/>
  <c r="V50" i="2"/>
  <c r="V49" i="2"/>
  <c r="V48" i="2"/>
  <c r="V47" i="2"/>
  <c r="V46" i="2"/>
  <c r="V45" i="2"/>
  <c r="U44" i="2"/>
  <c r="U40" i="2"/>
  <c r="V33" i="2"/>
  <c r="V32" i="2"/>
  <c r="U29" i="2"/>
  <c r="V28" i="2"/>
  <c r="U26" i="2"/>
  <c r="U43" i="2"/>
  <c r="U42" i="2"/>
  <c r="U41" i="2"/>
  <c r="U38" i="2"/>
  <c r="W37" i="2"/>
  <c r="W34" i="2"/>
  <c r="U24" i="2"/>
  <c r="U21" i="2"/>
  <c r="V19" i="2"/>
  <c r="U18" i="2"/>
  <c r="U17" i="2"/>
  <c r="U16" i="2"/>
  <c r="V15" i="2"/>
  <c r="U14" i="2"/>
  <c r="U13" i="2"/>
  <c r="U12" i="2"/>
  <c r="U11" i="2"/>
  <c r="U9" i="2"/>
  <c r="U3" i="2"/>
  <c r="U8" i="2"/>
  <c r="W7" i="2"/>
  <c r="W35" i="2" l="1"/>
  <c r="U55" i="2"/>
  <c r="Q111" i="2"/>
  <c r="U37" i="2"/>
  <c r="U7" i="2"/>
  <c r="U36" i="2"/>
  <c r="U34" i="2"/>
  <c r="U2" i="2"/>
  <c r="W14" i="2"/>
  <c r="W13" i="2"/>
  <c r="W12" i="2"/>
  <c r="W43" i="2"/>
  <c r="W11" i="2"/>
  <c r="Q109" i="2"/>
  <c r="W42" i="2"/>
  <c r="W10" i="2"/>
  <c r="W41" i="2"/>
  <c r="W9" i="2"/>
  <c r="W8" i="2"/>
  <c r="Q112" i="2" l="1"/>
  <c r="Q11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F01FDC-D2C8-4C68-9BF7-F714976A005B}" keepAlive="1" name="Query - full_IIA_corpus" description="Connection to the 'full_IIA_corpus' query in the workbook." type="5" refreshedVersion="8" background="1" saveData="1">
    <dbPr connection="Provider=Microsoft.Mashup.OleDb.1;Data Source=$Workbook$;Location=full_IIA_corpus;Extended Properties=&quot;&quot;" command="SELECT * FROM [full_IIA_corpus]"/>
  </connection>
</connections>
</file>

<file path=xl/sharedStrings.xml><?xml version="1.0" encoding="utf-8"?>
<sst xmlns="http://schemas.openxmlformats.org/spreadsheetml/2006/main" count="1078" uniqueCount="452">
  <si>
    <t>title</t>
  </si>
  <si>
    <t>last_name</t>
  </si>
  <si>
    <t>first_name</t>
  </si>
  <si>
    <t>year</t>
  </si>
  <si>
    <t>publisher</t>
  </si>
  <si>
    <t>place</t>
  </si>
  <si>
    <t>corpus_index</t>
  </si>
  <si>
    <t>word_count</t>
  </si>
  <si>
    <t>origin</t>
  </si>
  <si>
    <t>medium</t>
  </si>
  <si>
    <t>category</t>
  </si>
  <si>
    <t>corpus_type</t>
  </si>
  <si>
    <t>מיכסות לבנינים ולשטחים ציבוריים</t>
  </si>
  <si>
    <t>יבין</t>
  </si>
  <si>
    <t>שמואל</t>
  </si>
  <si>
    <t>משרד השיכון אגף הפרוגרמות - מוסדות ציבור</t>
  </si>
  <si>
    <t>תל-אביב</t>
  </si>
  <si>
    <t>Scanned</t>
  </si>
  <si>
    <t>Survey</t>
  </si>
  <si>
    <t>משרד השיכון</t>
  </si>
  <si>
    <t>IIA</t>
  </si>
  <si>
    <t>המכון הלאומי לחקר הבנייה</t>
  </si>
  <si>
    <t>חיפה</t>
  </si>
  <si>
    <t>Born digital</t>
  </si>
  <si>
    <t>בנטור</t>
  </si>
  <si>
    <t>אמנון</t>
  </si>
  <si>
    <t>המשרד לאיכות הסביבה</t>
  </si>
  <si>
    <t/>
  </si>
  <si>
    <t>המשרד להגנת הסביבה</t>
  </si>
  <si>
    <t>דוד</t>
  </si>
  <si>
    <t>תל אביב?</t>
  </si>
  <si>
    <t>דניאל</t>
  </si>
  <si>
    <t>research</t>
  </si>
  <si>
    <t>אדם</t>
  </si>
  <si>
    <t>תקציר דו"ח מחקר</t>
  </si>
  <si>
    <t>המרכז לחקר העיר והאזור</t>
  </si>
  <si>
    <t>משרד הבינוי והשיכון</t>
  </si>
  <si>
    <t>report</t>
  </si>
  <si>
    <t>מדריך ליישום הריסה סלקטיבית (בררנית) – פסולת בנייה והריסה</t>
  </si>
  <si>
    <t>טל</t>
  </si>
  <si>
    <t>אורי</t>
  </si>
  <si>
    <t>ירושלים</t>
  </si>
  <si>
    <t>מכניזם ההידבקות והעיגון של מוט זיון בבטון עם אגרגטים ממוחזרים מבטון מפסולת בנייה</t>
  </si>
  <si>
    <t>ינקלבסקי</t>
  </si>
  <si>
    <t>יוסף</t>
  </si>
  <si>
    <t>אלתרמן</t>
  </si>
  <si>
    <t>רחל</t>
  </si>
  <si>
    <t>תכנון מבני מגורים על גבי העתק פעיל</t>
  </si>
  <si>
    <t>הטכניון - מכון טכנולוגי לישראל</t>
  </si>
  <si>
    <t>Thesis</t>
  </si>
  <si>
    <t>תזות</t>
  </si>
  <si>
    <t xml:space="preserve">איריס </t>
  </si>
  <si>
    <t>בתי בארי: המבנן הברוטליסטי כבית לקהילה – אתמול והיום</t>
  </si>
  <si>
    <t>זמר</t>
  </si>
  <si>
    <t xml:space="preserve">נועה </t>
  </si>
  <si>
    <t>ג'בארין</t>
  </si>
  <si>
    <t>ארליך</t>
  </si>
  <si>
    <t>חוה</t>
  </si>
  <si>
    <t>ניר</t>
  </si>
  <si>
    <t>המכון הלאומי לחקר הבניה</t>
  </si>
  <si>
    <t>שרון</t>
  </si>
  <si>
    <t xml:space="preserve">עורף בתכנון - קריאה עירונית של מנגנוני הגנה אזרחית
</t>
  </si>
  <si>
    <t>צוק</t>
  </si>
  <si>
    <t xml:space="preserve">עידו </t>
  </si>
  <si>
    <t>בחינת העמדות כלפי השטחים הפתוחים בקרב בני נוער מהחברה הערבית בישראל</t>
  </si>
  <si>
    <t xml:space="preserve">סעאדה </t>
  </si>
  <si>
    <t>יונס</t>
  </si>
  <si>
    <t>תפקיד האדריכלות במתחמי מגורים להמונים בעיר הניאו-ליברלית - ממגורים משוכפלים למגורים מתוכננים</t>
  </si>
  <si>
    <t>מאירוביץ</t>
  </si>
  <si>
    <t xml:space="preserve">מריאן </t>
  </si>
  <si>
    <t>Statute</t>
  </si>
  <si>
    <t>רגולציה</t>
  </si>
  <si>
    <t>לגיטימציה של הסכמים בין רשויות התיכנון ליזמים - החוק והפרקטיקה בישראל במבט בין לאומי השוואתי</t>
  </si>
  <si>
    <t>בקר</t>
  </si>
  <si>
    <t>ישראל 100-תכנון אסטרטגי לישראל לקראת 2048-דוח שלב ב'-כלי התכנון</t>
  </si>
  <si>
    <t xml:space="preserve">אסיף </t>
  </si>
  <si>
    <t xml:space="preserve">שמאי </t>
  </si>
  <si>
    <t>חציית אזורי העתקה על ידי צנרת טמונה בקרקע - הצגת הבעיה ודרכי התמודדות</t>
  </si>
  <si>
    <t>רוני</t>
  </si>
  <si>
    <t>שדרוג ירוק של בנייני מגורים קיימים בישראל</t>
  </si>
  <si>
    <t>דרורי</t>
  </si>
  <si>
    <t xml:space="preserve">דפנה </t>
  </si>
  <si>
    <t>"המועיל עם היפה" - תאוריה ומעשה בתכנון הגינות הפרטיות של שלמה אורן-וינברג</t>
  </si>
  <si>
    <t>תימן</t>
  </si>
  <si>
    <t xml:space="preserve">עמית </t>
  </si>
  <si>
    <t>strategic planning</t>
  </si>
  <si>
    <t>הסגנון הבין-לאומי ואקלים ארץ ישראל - התפקודים האקלימיים של בנייני מגורים בעיר תל-אביב משנות ה- 30 ועד קום המדינה</t>
  </si>
  <si>
    <t>ניקולא</t>
  </si>
  <si>
    <t xml:space="preserve">צבא </t>
  </si>
  <si>
    <t>ורדי</t>
  </si>
  <si>
    <t>שחר</t>
  </si>
  <si>
    <t>דינמיקה חברתית, סובלנות עירונית וקיבולת מרחבית בעיר מעורבת בהתהוות - המקרה של כרמיאל</t>
  </si>
  <si>
    <t>שבח</t>
  </si>
  <si>
    <t xml:space="preserve">דנה </t>
  </si>
  <si>
    <t xml:space="preserve">נעם </t>
  </si>
  <si>
    <t>אי שוויון, שכר ויוממות - האם שינויים במאפייני היוממות ביישוב מתואמים עם שכר ואי שוויון בהכנסות?</t>
  </si>
  <si>
    <t>מנחם</t>
  </si>
  <si>
    <t xml:space="preserve">עופר </t>
  </si>
  <si>
    <t>פרופיל אנרגטי לבנייני משרדים קיימים - An Energetic Profile for Existing Office Buildings</t>
  </si>
  <si>
    <t>רינגל</t>
  </si>
  <si>
    <t xml:space="preserve">גל </t>
  </si>
  <si>
    <t>summary report</t>
  </si>
  <si>
    <t>בנה ביתך - קריאה סוציו-תרבותית של המשתמש הפעיל</t>
  </si>
  <si>
    <t>יזהר</t>
  </si>
  <si>
    <t xml:space="preserve">דקלה </t>
  </si>
  <si>
    <t xml:space="preserve">הנוף כשיח - תפיסות סביבתיות, מדיניות ונוף חקלאי בסובב בקעת הנדיב 1918-1882 </t>
  </si>
  <si>
    <t xml:space="preserve">חן </t>
  </si>
  <si>
    <t>האם מאפיינים נופיים מסייעים לקבוע את הערכיות האקולוגית 
של שטח נתון? פארק רמת הנדיב כמקרה מבחן</t>
  </si>
  <si>
    <t>צפון</t>
  </si>
  <si>
    <t xml:space="preserve">זהר </t>
  </si>
  <si>
    <t xml:space="preserve">הדס </t>
  </si>
  <si>
    <t>חיים</t>
  </si>
  <si>
    <t>שיטות שדרוג סיסמי של בניינים קיימים המיועדים לחיזוק מסיבי בישראל דו"ח לסיכום המחקר</t>
  </si>
  <si>
    <t>ירמולינסקי</t>
  </si>
  <si>
    <t>ברוך</t>
  </si>
  <si>
    <t>analytical report</t>
  </si>
  <si>
    <t>קידום לימודי בנייה ירוקה באקדמיה - מחקר פעולה - סיכום פעילות, ממצאים והמלצות</t>
  </si>
  <si>
    <t>אוסטרליץ</t>
  </si>
  <si>
    <t>כרמון</t>
  </si>
  <si>
    <t xml:space="preserve">יחסים חברתיים-מרחביים בין סטודנטים במכללות לבין תושבים מקומיים </t>
  </si>
  <si>
    <t>נאור</t>
  </si>
  <si>
    <t>אנאליזה וחישוב של התפקוד התרמי והאנרגטי של גשרים תרמיים ופתרונותיהם בבנייה עם שלד מבטון</t>
  </si>
  <si>
    <t>רות</t>
  </si>
  <si>
    <t>מיכאל</t>
  </si>
  <si>
    <t>קווים מנחים לתכנון עמדת עבודה ייעודית המותאמת לצרכיו של הרופא המרדים</t>
  </si>
  <si>
    <t>איצקוביץ</t>
  </si>
  <si>
    <t>ניתוח תפקיד ואפיון פתרונות מערכתיים להתאמת סביבה ביתית לאוכלוסייה מבוגרת</t>
  </si>
  <si>
    <t>יניב</t>
  </si>
  <si>
    <t xml:space="preserve">יקיר </t>
  </si>
  <si>
    <t>מגדלי יוקרה בקהילות מגודרות - המקרה של תל אביב</t>
  </si>
  <si>
    <t>תכנון לאורח חיים פעיל - אלמנטים סביבתיים המעודדים פעילות גופנית יום-יומית</t>
  </si>
  <si>
    <t>מורן</t>
  </si>
  <si>
    <t>מיקה</t>
  </si>
  <si>
    <t>הקשר בין הסביבה הבנויה לבין אורח חיים פעיל</t>
  </si>
  <si>
    <t xml:space="preserve">מיקה </t>
  </si>
  <si>
    <t>השפעתם של מאפייני המסע מדלת-לדלת על הביקוש לנסיעות לעבודה ברכבת</t>
  </si>
  <si>
    <t>נמיר</t>
  </si>
  <si>
    <t xml:space="preserve">עתליה (גלעד) </t>
  </si>
  <si>
    <t>טכנולוגיות חדשניות לתמיכה באסטרטגיית תכנון מודע לפירוק - מודל הערכת תכנון</t>
  </si>
  <si>
    <t>קלוש</t>
  </si>
  <si>
    <t xml:space="preserve">ניצן </t>
  </si>
  <si>
    <t>התפתחות ענף הבנייה ופעילות משרד הבינוי והשיכון</t>
  </si>
  <si>
    <t>תל אביב</t>
  </si>
  <si>
    <t>כפר שלם - סיפור ייחודי של פינוי ובינוי</t>
  </si>
  <si>
    <t>צפריר</t>
  </si>
  <si>
    <t xml:space="preserve">נורית </t>
  </si>
  <si>
    <t>כלכלת שימור מבנים בעלי ערך תרבותי היסטורי - העיר הלבנה תל אביב</t>
  </si>
  <si>
    <t>סלינג'ר</t>
  </si>
  <si>
    <t xml:space="preserve">אייל </t>
  </si>
  <si>
    <t xml:space="preserve">בדיקת עמדות למגורים בבניינים משותפים בעיר סח'נין - דוח סיכום מחקר איכותי </t>
  </si>
  <si>
    <t>אותנתל אינסייט</t>
  </si>
  <si>
    <t>כלכלה התנהגותית בשוק הדיור - אפקט ההיצג, עוגנות וחוק המספרים הקטנים</t>
  </si>
  <si>
    <t>קורן</t>
  </si>
  <si>
    <t>ענבל</t>
  </si>
  <si>
    <t>יחס רשויות מקומיות לשירותי שיקום בקהילה</t>
  </si>
  <si>
    <t>פיינגולד</t>
  </si>
  <si>
    <t xml:space="preserve">מארה </t>
  </si>
  <si>
    <t>פחד בקרב נשים מקבוצות תרבותיות שונות בסביבה העירונית בישראל - חקר אירוע בשכונת הדר הכרמל בחיפה</t>
  </si>
  <si>
    <t>פרנקל</t>
  </si>
  <si>
    <t xml:space="preserve"> חן </t>
  </si>
  <si>
    <t>שימוש בסוכנים וירטואליים כמדריכים תרופתיים לאוכלוסייה המבוגרת - האם יש חשיבות לרמת האנתרופומורפיות</t>
  </si>
  <si>
    <t>בן-יאיר</t>
  </si>
  <si>
    <t xml:space="preserve">פרנקל </t>
  </si>
  <si>
    <t>מרט</t>
  </si>
  <si>
    <t>החולייה החלשה - נספחי בינוי וחוק התכנון והבניה</t>
  </si>
  <si>
    <t>שיטה להערכת תכנון אזורי ועירוני הנעזרת בהמחשה מרחבית</t>
  </si>
  <si>
    <t>ויתקון</t>
  </si>
  <si>
    <t>ליאור</t>
  </si>
  <si>
    <t>שימוש בפרמטרים פיזיולוגיים לשיפור איכות הערכת ביצועים במאמן טיסה</t>
  </si>
  <si>
    <t>שדמי</t>
  </si>
  <si>
    <t xml:space="preserve">אופיר </t>
  </si>
  <si>
    <t xml:space="preserve">גלית </t>
  </si>
  <si>
    <t>הגורמים המשפיעים על התקשרות לשכונה ובחינת החשיבות היחסית של הגינה הציבורית ביניהם</t>
  </si>
  <si>
    <t>לביצקי (צ'ודנובסקי)</t>
  </si>
  <si>
    <t xml:space="preserve">ליליה </t>
  </si>
  <si>
    <t>בעלות או שכירות - בחינה כלכלית של סוג החזקה בנדל"ן למגורים בישראל</t>
  </si>
  <si>
    <t>כץ נחמני</t>
  </si>
  <si>
    <t>חקר מאפייני 'ידידותיות למשתמש' במוצרים להרכבה עצמית המתוכננים לסביבת בית המגורים</t>
  </si>
  <si>
    <t>שטיינר</t>
  </si>
  <si>
    <t xml:space="preserve">יגאל </t>
  </si>
  <si>
    <t xml:space="preserve">בחינת השילוב של שיקולים סביבתיים בתכניות שימושי קרקע כוללניות - ארציות ומחוזיות שהוכנו בישראל בשנים 1990 – 2005 </t>
  </si>
  <si>
    <t>מרגלית</t>
  </si>
  <si>
    <t xml:space="preserve">אורנה </t>
  </si>
  <si>
    <t>גיבוש קווים מנחים לעיצוב ממשק משתמש במצלמה דיגיטלית המותאם לאוכלוסייה מבוגרת</t>
  </si>
  <si>
    <t>בלנגה</t>
  </si>
  <si>
    <t xml:space="preserve">המשתנים המשפיעים על העדפות ועמדות בנושא השטחים הציבוריים הפתוחים - מקרה בוחן - העיר נצרת </t>
  </si>
  <si>
    <t>בנא-ג'ירייס</t>
  </si>
  <si>
    <t>ענאיה</t>
  </si>
  <si>
    <t>בחינת ההתאמה של הסביבה הפיזית של מחנות צהל למשתמשים</t>
  </si>
  <si>
    <t>רון-וקסלר</t>
  </si>
  <si>
    <t xml:space="preserve">עירית </t>
  </si>
  <si>
    <t>צדק חלוקתי במקרקעין - תוכניות חלוקה חדשה לפי חוק התכנון והבניה</t>
  </si>
  <si>
    <t>חברוני</t>
  </si>
  <si>
    <t>חדוה</t>
  </si>
  <si>
    <t>נבון</t>
  </si>
  <si>
    <t>מתחם בתי הזיקוק לנפט בחיפה - הצעה להסבת בניין ההנהלה הבריטית למוזיאון המוקדש לתולדות תעשיית זיקוק הנפט בארץ ישראל</t>
  </si>
  <si>
    <t>שנירמן</t>
  </si>
  <si>
    <t>גיא</t>
  </si>
  <si>
    <t>יעל</t>
  </si>
  <si>
    <t>תמר</t>
  </si>
  <si>
    <t>יצירת מדד לסיוע בהחלטה לשימוש אי-שימוש במושב מגביה עבור ילדים בגילאי 5-9</t>
  </si>
  <si>
    <t>אורנה</t>
  </si>
  <si>
    <t xml:space="preserve">יחסו של השילטון המקומי לאוכלוסיות המיעוטים בראייה השוואתית בינלאומית מקרה בוחן של המועצה האזורית עמק יזרעאל </t>
  </si>
  <si>
    <t>אוחיון-קניגסברג</t>
  </si>
  <si>
    <t>כרמית</t>
  </si>
  <si>
    <t>סיגל</t>
  </si>
  <si>
    <t>מיכל</t>
  </si>
  <si>
    <t>קונספט עיצובי והערכה ביצועית ותפקודית של תצוגת נתוני מעבדה במערכת תיק חולה ממוחשב</t>
  </si>
  <si>
    <t>גרנצרז (רונן)</t>
  </si>
  <si>
    <t>התווית קוים מנחים לשימור מתחמי מגורים עירוניים - ציר רכס הכרמל המערבי ושדרות הנדיב</t>
  </si>
  <si>
    <t>נאמן מזרחי</t>
  </si>
  <si>
    <t xml:space="preserve">נעמה 
</t>
  </si>
  <si>
    <t>תרומתם של מוסדות להשכלה גבוהה לפיתוח מקומי</t>
  </si>
  <si>
    <t>צרכי הדיור של המגזר החרדי דו"ח מסכם</t>
  </si>
  <si>
    <t>כנען</t>
  </si>
  <si>
    <t>שלומית</t>
  </si>
  <si>
    <t>שימוש בצמחיה ככלי ניטור חדשני של מזהמים אורגניים נדיפים באזור הלא רווי</t>
  </si>
  <si>
    <t>גרבר</t>
  </si>
  <si>
    <t xml:space="preserve">אלן </t>
  </si>
  <si>
    <t>קידוש המרחב בנתיבות - ממגדל המים לקבר הבבא סאלי</t>
  </si>
  <si>
    <t>ליאת</t>
  </si>
  <si>
    <t>טכנולוגיות לניהול ובקרת חומרים, כ"א וצמ"ה בפרוייקטי בנייה</t>
  </si>
  <si>
    <t>שיטה לאיפיון פתרונות תכנוניים המבוססת על "שפת התבניות" של כריסטופר אלכסנדר : הדגמה על המקרה של החיאת רחוב דיזנגוף וסביבתו</t>
  </si>
  <si>
    <t>זיטלבך</t>
  </si>
  <si>
    <t>הכלים לשמירה על שטחים פתוחים - מה ניתן ללמוד ממדינות אחרות וליישם בישראל</t>
  </si>
  <si>
    <t>שיקולי אקלים ואנרגיה בתכנון בתי ספר, באקלים החם והלח, של אזור רצועת החוף בישראל</t>
  </si>
  <si>
    <t xml:space="preserve">פרץ </t>
  </si>
  <si>
    <t>סקר רוכשי דירות חדשות ויד שניה ביקנעם עילית</t>
  </si>
  <si>
    <t>עמיר</t>
  </si>
  <si>
    <t>תקנות התכנון והבניה (פטור מהיתר לעבודה לצורכי מרעה בקרקע חקלאית באזורים כפריים ותנאיו), תשסא-2001</t>
  </si>
  <si>
    <t>ורנסקי</t>
  </si>
  <si>
    <t>אריאלה</t>
  </si>
  <si>
    <t>Strategic planning</t>
  </si>
  <si>
    <t>טרופ</t>
  </si>
  <si>
    <t>יריד המזרח 1934 וקידום הארכיטקטורה המודרנית בארץ ישראל</t>
  </si>
  <si>
    <t>דוידי קונדה</t>
  </si>
  <si>
    <t>סמיכות מגורים בין קבוצות חברתיות-כלכליות שונות בעקבות חידוש עירוני</t>
  </si>
  <si>
    <t>ביליג</t>
  </si>
  <si>
    <t>מרים</t>
  </si>
  <si>
    <t>דוח סקר משולב לעמדות לבנייה מתועשת למגורים בקרב הציבור הכללי ואנשי מקצוע</t>
  </si>
  <si>
    <t>מכון ברנדמן</t>
  </si>
  <si>
    <t>הצעה להסדרת מעמד השטחים שבין הגן הלאומי והכפרים הדרוזים בכרמל</t>
  </si>
  <si>
    <t>שאול</t>
  </si>
  <si>
    <t>מדיניות השיכון של ישראל - חמישים שנים ראשונות</t>
  </si>
  <si>
    <t>נעמי</t>
  </si>
  <si>
    <t>הערכה טכנו-כלכלית של שימושי פוספוגבס</t>
  </si>
  <si>
    <t>תפוחי</t>
  </si>
  <si>
    <t xml:space="preserve">אליאנה </t>
  </si>
  <si>
    <t>התכנון העירוני בישובים הערביים בישראל - סוגיית הקצאת שטחים לצורכי ציבור - מחקר הערכה</t>
  </si>
  <si>
    <t>יוסף רפיק</t>
  </si>
  <si>
    <t>הקיבוץ הדתי וביטויו בנוף ובגן- 30 שנות התפתחות, 1967-1937</t>
  </si>
  <si>
    <t>רגב-דוד</t>
  </si>
  <si>
    <t>דורית</t>
  </si>
  <si>
    <t>האם ביכולתה של מדיניות אזורית לסייע בהיווצרות פוטנציאל חדשנות באזורים נחשלים?</t>
  </si>
  <si>
    <t>שפר</t>
  </si>
  <si>
    <t>תמונת העתיד - תכנית לארגון המרחב הלאומי</t>
  </si>
  <si>
    <t>מזור</t>
  </si>
  <si>
    <t>מוסד הטכניון למחקר ולפיתוח</t>
  </si>
  <si>
    <t>מוסד הטכניון</t>
  </si>
  <si>
    <t>תוכנית אב בני ברק - היבטים חברתיים - דוח מס' 1</t>
  </si>
  <si>
    <t>גינזברג</t>
  </si>
  <si>
    <t>יונה</t>
  </si>
  <si>
    <t>קליטת עולי קווקז בשכונות וישובי שיקום - הערכת התוכנית - למידה, קשיים והישגים</t>
  </si>
  <si>
    <t>שגיא</t>
  </si>
  <si>
    <t>משרד הבינוי והשיכון אגף שיקום שכונות חברתי</t>
  </si>
  <si>
    <t>Report</t>
  </si>
  <si>
    <t>מרחב האפשרויות - עסקים כרגיל - תסריט המשך המגמות - ישראל 2020</t>
  </si>
  <si>
    <t>ברגור</t>
  </si>
  <si>
    <t>תסריטי על - ישראל בסביבה של שלום - ישראל 2020</t>
  </si>
  <si>
    <t xml:space="preserve">
בר-אל</t>
  </si>
  <si>
    <t>רפי</t>
  </si>
  <si>
    <t>אמידת הנכונות לשלם תמורת השימוש בדרך</t>
  </si>
  <si>
    <t>העצמה בהקשר של תכנון קהילתי - פיתוח תיאורטי</t>
  </si>
  <si>
    <t xml:space="preserve">
סדן</t>
  </si>
  <si>
    <t>אלישבע</t>
  </si>
  <si>
    <t>הופמן</t>
  </si>
  <si>
    <t>מלוא אמיל</t>
  </si>
  <si>
    <t>התחנה לחקר הבנייה</t>
  </si>
  <si>
    <t>התמודדות עם קונפליקטים בתכנון העירוני והאזורי - רקע תיאורטי ותוכנית למחקר</t>
  </si>
  <si>
    <t>חנוך</t>
  </si>
  <si>
    <t>ייצור של בטון מתפלס הנחיות לייצור ולביצוע של משטחים מישוריים</t>
  </si>
  <si>
    <t>ארנון</t>
  </si>
  <si>
    <t>דני</t>
  </si>
  <si>
    <t>סלייפר</t>
  </si>
  <si>
    <t>פורה</t>
  </si>
  <si>
    <t>תכנון תקרות ומחיצות נגד רעש</t>
  </si>
  <si>
    <t xml:space="preserve">
קלר</t>
  </si>
  <si>
    <t>יולי</t>
  </si>
  <si>
    <t>יצירת מקורות תעסוקה בערי הפיתוח</t>
  </si>
  <si>
    <t>דרכים חלופיות להשגת קרקע לצרכי ציבור - בסיס משפטי והערכת השימוש בתכנון עירוני</t>
  </si>
  <si>
    <t>בדיקת בעיות רטיבות והצעת פתרונות לבנייני עמידר מחוז דרום יהודה סקר שיטות לבידוד תרמי של בניינים</t>
  </si>
  <si>
    <t>שתוף הצבור במסגרת חוק התכנון והבניה - הקיים והאפשרי</t>
  </si>
  <si>
    <t>הפקעת קרקע לצורכי ציבור לפי חוק התכנון והבניה - לקראת הערכה מחדש</t>
  </si>
  <si>
    <t>מחקר הערכה - תכנית שכונות מועדפות</t>
  </si>
  <si>
    <t>בורוכוב</t>
  </si>
  <si>
    <t>אליהו</t>
  </si>
  <si>
    <t>משרד הבינוי והשיכון אגף האיכלוס</t>
  </si>
  <si>
    <t>קריטריונים להבחנת בעיות רוח בשלבי תכנון מוקדמים</t>
  </si>
  <si>
    <t>דפוסי שמוש בשטחים פתוחים שכונתיים - מחקר אמפירי לזיהוי ההשפעה של צורות בינוי על דפוסי השימוש בגנים בשכונות מגורים</t>
  </si>
  <si>
    <t>שביב</t>
  </si>
  <si>
    <t>עדנה</t>
  </si>
  <si>
    <t>אחר הפינוי דיירי ואדי סאליב בסביבתם החדשה - דוח מסכם של מחקר-המעקב אחר מפוני ואדי-סאליב</t>
  </si>
  <si>
    <t>יעקבזן</t>
  </si>
  <si>
    <t>הולץ</t>
  </si>
  <si>
    <t>משרד השיכון המחלקה למחקר כלכלי-חברתי</t>
  </si>
  <si>
    <t>מחירי הדירות בישראל 11 התפתחות מחירי הדירות</t>
  </si>
  <si>
    <t>ארגון שטחים במבני ציבור מרכב, בצורה אופטימלית בעזרת מחשב</t>
  </si>
  <si>
    <t>מוסד הטכניון למחקר ופיתוח בע"מ</t>
  </si>
  <si>
    <t>פוטנציאל הצמיחה הכלכלית של העיר חיפה - שלב א' - סקר התעשיה בחיפה 1965-1970</t>
  </si>
  <si>
    <t>בנין ערים - תכנון ובניה - תקנות התכנון והבניה (בקשה להיתר, תנאיו ואגרות), תשל-1970</t>
  </si>
  <si>
    <t>סימפוזיון בנושא - תכנון השיקום העירוני (1970 - טכניון) - תקצירי ההרצאות</t>
  </si>
  <si>
    <t>י.</t>
  </si>
  <si>
    <t xml:space="preserve">האלומיניום בבנייה בסביבה ימית בישראל </t>
  </si>
  <si>
    <t>תיבון</t>
  </si>
  <si>
    <t>יורם</t>
  </si>
  <si>
    <t>הבניה הכפרית הערבית בגליל מבחינה ארכיטקטונית</t>
  </si>
  <si>
    <t>סגל</t>
  </si>
  <si>
    <t>OCR Accuracy</t>
  </si>
  <si>
    <t>OCR Text</t>
  </si>
  <si>
    <t>Page Number in Abbyy</t>
  </si>
  <si>
    <t>Words_N</t>
  </si>
  <si>
    <t>Characters_N</t>
  </si>
  <si>
    <t>OCR errors</t>
  </si>
  <si>
    <t>בסעיפים הקודמים תוארה המערכת מנקודת ראותו של מהנדס ידע. בסעיף זה מתוארת המערכת בהיבטים החשובים למשתמש.
6.4.1	אופן הפעלת התוכנית
לצורך הפעלת המערכת נדרש מהמשתמש ידע בסיסי בהפעלת המחשב והפעלת התוכנית. לאחר הפעלת התוכנית נתונה היוזמה בידי המערכת. על המשתמש לפעול בהתאם להנחיות הניתנות לו על המסך. בכדי להקל על המשתמש, מבוצע תהליך התכנון באמצעות תפריטים. התפריטים הוגדרו באמצעות "חלונות" המאורגנים בהתאם לשלבי התכנון ורמת המידע. במהלך התכנון מופנות למשתמש שאלות. שאלות אלו מאפשרות למערכת לקלוט מהמשתמש את הנתונים הספציפיים לבעיה. המידע הדרוש מוזן באמצעות לוח המקשים של המחשב. כאשר התיחקור מבוצע באמצעות מאגרי הידע, עשוי המשתמש, בלחיצה על מקשים מיוחדים, להיעזר במידע נוסף המוצג לו על ידי מנגנון ההסבר של המערכת.
משתמש מנוסה עשוי לשנות את סדר ההתייעצות, או לבצע תכנון חוזר של אחד המודולים. מהלכים אלו דורשים הכרה מעמיקה יותר של סביבת העבודה של המערכת. במהלך ההתייעצות או בסיומה, ניתנת למשתמש אפשרות לקבל את הדוחו״ת הבאים:
	71 סיכום ההתייעצות עם מאגרי הידע —
2.	דו״ח רכיבים
3.	דו״ח פעילויות
4.	דו״ח לוה זמנים
6.4.2	תכנון עבודות המבנה התחתון
תכנון התקדמות העבודה, מחולק לשלבים ופעילויות תכנוניות. באופן תיאורטי-ניתן לבצע חלק מהפעילויות התכנוניות במקביל. באופן מעשי - תכנון ממוחשב מחייב לנסח את תהליך התכנון באופן טורי (sequentially) התואם את תהליך התכנון התיאורטי. התאמה זו מושגת כאשר סדר העבודה של המערכת מאפשר לה להכין בכל שלב את הנתונים הדרושים לשלבים הבאים.</t>
  </si>
  <si>
    <t>הערות</t>
  </si>
  <si>
    <t xml:space="preserve">‏ד.	תנאי הפינוי והמימון, הניתנים למשפחות המשתכנות בשיכוני חברת "חלמיש", נמצאו כבלתי מתאימים ליכולת הכלכלית של המשפחות . נוצר מצב של פיגור חמור בתשלומים להחזרת ההלוואות. חלק מהמשפחות אף לא התחיל לשלם. (ראה טבלה מם' 3).
‏ה.	צורת הבינוי והאיכלום של שיכון "נוה שלם" - מתן דירות למפונים לפי נורמות דיור נמוכות, ריבוי משפחות גדולות בבניני-קומות, ריכוז-יתר של משפחות בעיתיות - כל אלה גרמו למצב של הזנחה ולדימוי שלילי של שיכון זה בעיני התושבים.
יתר על כן, פעולת הפינוי והשיקום בשיכוני חברת "חלמיש" (בעיקר ב"נוה שלם") גרמו, מצד אחד, לאי-שביעות רצון ומרירות בקרב המשפחות ששוכנו בשיכונים הללו, ומצד שני - לרתיעה בנכונות התושבים, שנשארו בכפר, לעזוב אותו ולעבור לשיכוני החברה.
אנו חסרים נתוני מעקב לגבי המשפחות ששוקמו ב"סידור עצמי", אולם יש להניח שפעולת הפינוי, שאיפשרה להם לעבור לדירה חלופה לפי בחירתם, נתקבלה בשביעות רצון. יצויין, שעד כה לא הופנתה מצדם כל תלונה נגד החברה המפנה.
‏ו.	עקב הדימוי השלילי שנתלווה לפעולת הפינוי והשיקום, ומחמת צימצום מספר המשפחות שיש ברשותן אמצעים לש קום ב"סידור עצמי", מושפע קצב הפינוי, כתוצאה מכך יש לצפות להחמרת המצב בהמשך הזמן: מספר המשפחות שיהיה צורך לפנותן יגדל, המשקע החברתי באוכלוסית האתר יגבר, וההוצאות וההשקעות של החברה המשקמת יעלו, שלא לדבר על ההשלכות שיש לכך לגבי בינוי השטח שבתכנית המתאר.
לאור כל האמור לעיל נראה, כי בכל פעולת פינוי ושיקום הדיור של האוכלוסיה יש להביא מספר עיקרים:
1.	הבעיות של שכונת עוני אינן ניתנות לפיתרון טיפין טיפין ע״י גורם בודד, ויש צורך במאמץ כולל ומתואם בין כל הגורמים הפועלים כיום בשטח משכנות העוני.
2.	קצב הפינוי של השטח צריך להיות קצר ככל האפשר.
3.	יש להבטיח מראש את הכלם הארגוניים והתקציביים הדרושים לפעולות הפינוי ושיקום האוכלוסיה.
4.	קביעת מסגרת חוקית, דהיינו, הכרזת האזור כאזור שיקום לפי ה"חוק".
</t>
  </si>
  <si>
    <t xml:space="preserve">8.	שטחי חתעשיח בהיסח והאזור - סקירה כללית של היעע הקרקעות לתעשיה
שטחים פנויים לתעשיה הם בבחינת Sine qua non לגידול ופתוח התעשיה, בלעדיהם לא יתכן גידול. שלא בתשומת הון ועבודה, אשר מצויה ביניהן תחלופה מסוימת, תשומת הקרקע הינה כמעט בבחינת קבוע. תחלופת הון או עובדים לקרקע בייצור תעשייתי היא כמעט ואינה מצויה ברב ענפי התעשיה. (ישנן תעשיות בהן אפשר למשל להוסיף קומה וע״י כך אנו גורמים לתחלופה בין הון וקרקע, אולם רוב תהליכי הייצור הבסיסיים - תעשיה כבדה - אינם פתוחים לאפשרות כזו). לאור האמור לעיל ניתן לראות את היצע הקרקעות המיועדות לתעשיה בגורם קריטי בגידול העתידי. גורם היצע הקרקעות יכול להוות צואר בקבוק בעתיד במידה והיצע זה הינו אומנם קטן. חשיבותו של נושא זה חייבה התיחסות בדו״ח זה. למרות זאת שסקר שדה מלא ודאי חיוני בשלב כלשהוא החלטנו לערוך סקירה ולוא גם כללית בנושא זה. סקירה זו התבססה ברובה על דו״חות קיימים, התכתבויות עם רשויות מקומיות שבאזור חיפה, ראיונות עם מספר רב של אישים בעלי ידע בנושא ופגישות עם נציגי מפעלים גדולים באזור. אי לכך יש לראות בפרק זה סקירה ראשונית המצביעה על סדרי גודל של קרקעות תפוסות ופנויות לפתוח תעשייתי בחיפה והאזור. ההתייחסות בסקירה זו היא לחיפה והאזור מאחר ויש לראות את .היצע הקרקעות באזור כמתחרה להיצע הקרקעות בתחומי העיר, כמו כן, כפי שכבר צויין בדו״ח זה יש לראות את חיפה והאזור כחלק אינטגרלי וכיחידה כלכלית בה גבולות מוניציפליים משחקים תפקיד שולי ביותר.
1.	שטחי קרקע המיועדים לתעשיה
מפרץ חיפה מנקודת ראות גיאוגרפית וכלכלית - פונקציונלית מתמשך אזור המפרץ עד עכו. לעומת זאת מבחינת שפוט מוניציפלית מפוצל האזור בין עירית חיפה ומספר מועצות מקומיות.
אזור התעשיה עכו אזור זה מורכב מ-3 אזורי משנה: 1) אזור לתעשיות קלות מצפון לנעמן 100 דונם (האזור מבונה ותפוש).
2)	אזור תעשיה, מזרחית לכביש חיפה-עכו ומדרום לנעמן 250 דונם. אזור זה פנוי, אך ספק אם תקום תעשיה עליו מהסיבות הנ״ל!
א.	יעוד האזור - ב— 1951 הועד האזור ע״פ תוכנית מתאר לתעשיה. ב-1954 הוסב היעוד לאזור חקלאי. ב-1963 הועידוהו שוב לתעשיה. בשנים האחרונות ישנה מחשבה להועיד את האזור לנופש ותיירות.
</t>
  </si>
  <si>
    <t xml:space="preserve">משרד הבינוי והשיכון ותוך שיתוף פעולה הדוק עם חברות לבטון מובא, בעיקר חברת רדימיקס (חברת פיוניר סייעה בשלבי המחקר המוקדמים) ספקיות מיקרוסיליקה (מחצבת בית אלפא), וספקיות מוספים (בעיקר חברת שירותי בינוי) אשר גילו עניין רב בסיוע לבחינה של יישום השיטה בקנה מידה מלא.
בפרק 2 במסמך זה ניתן תאור של מבנה והרכב הבטון, ובפרקים 3, 4 ו-5 ניתנות ההנחיות לייצור וערבול הבטון, הכנת המשטח לפני היציקה ויישום הבטון באתר.
2. מגגה ומרכב הבטון
תאור מפורט של מבנה והרכב הבטון והעבודה המחקרית שהיתה כרוכה בפיתוחו ניתנים בדו"ח שבמקור 2. העיקרון לייצור הבטון בעל התכונות המיוחדות מבוסס על שילוב של מיקרוסיליקה ומוסף על פלסטי, עם מרכיבי בטון רגילים (צמנט ואגרגטים). גרגירי המיקרוסיליקה הם חומר פוצולני פעיל בעל מבנה פיזיקלי בצורת כדורים עגולים וחלקים. כאשר חלקיקים אלה מפוזרים היטב בין מרכיבי המערכת (צמנט ואגרגטים) כפי שרואים בצורה סכמטית בציור 1, הם פועלים כ"מיסבים", המאפשרים למרכיבי המערכת המוצקים (צמנט ואגרגטים) לנוע בצורה חופשית אחד ביחס לשני. בצורה כזאת מתקבלת תערובת בעלת תכונות זרימה משופרות. את הפיזור משיגים ע"י ערבול ממושך וע״י תוספת גדולה יחסית של מוסף על פלסטי.
תכונות הזרימה המתקבלות בצורה זו דומות לאלה המושגות ע״י תוספות גדולות של מים לתערובת, אך ללא תופעות הלוואי השליליות המלוות את הגדלת תכולת המים, שהן גידול בהפרשת המים והקטנה בחוזק. בצורה זו ניתן לכן לקבל תערובת בעלת כושר זרימה ופילוס מעולה, עם חוזק המגיע לרמה של ב-30 ויותר. בנוסף על כך, מאחר והפרשת המים היא מינימלית, הרי שטח הפנים העליון של הבטון הינו חזק וצפוף ואינו דורש פעולת ציפוף מיוחדת להקטנת הנקבים המתקבלים על שטח הפנים כתוצאה מהפרשת המים בבטון רגיל.
טווח הרכבים המאפשרים להשיג את התכונות הדרושות מבחינת הזרימה, ולקבל חוזקים מסדר גודל המתאים לבטון ב-20 או ב-30 ניתנים בטבלה 1. עקומי דרוג טיפוסיים של האגרגטים ניתנים בציור 2.
</t>
  </si>
  <si>
    <t xml:space="preserve">4.2	לקחים עבור מתכנני פינוי ושיקום
כאשר מגיעים להחלטה לפנות שכונה ירודה, להעביר את תושביה למקום אחר, ולשקם את האוכלוסיה ואת האתר, הרי היא מבוססת בדרך כלל על שיקולים שונים. יש ושיקולים חברתיים, שלפיהם רואים פגם וסכנה בבתים רעועים ובאוכלוסיה נחשלת, הם שמניעים את המוסדות לפעולה. במקרים אחרים קובעים שיקולים כלכליים: הקרקע יקרה ויכולה להביא יותר רווחים או תועלת בשימוש חליפני^כגון מרכז עסקים או דירות יוקרה, או שיקולים תכנוניים, כגון הצורך לפלס דרך לכביש מהיר. עוד יש מקרים בהם מכריעים שיקולים פוליטיים, כגון הרצון לגייס תמיכת הציבור הרחב ע״י ביצוע פרויקט רב-היקף ומרשים. אולם לרוב קיימים ההבטים השונים בעת ובעונה אחת, וההחלטה המכרעת נופלת כתוצאה ממערך שלם של שיקולים שהם חברתיים, כלכליים, תכנוניים ופוליטיים גם יחד.
כך היה המצב גם במקרה של פינוי ואדי סאליב. בתכנית האב לעיר חיפה מופיע כביש רב-נתיבות לחיבור העיר התחתית עם הדר הכרמל וההר, אשר יחצה את הואדי בחלקו התחתון. שטח הואדי עצמו מהווה רזרבה יקרת-ערך של קרקע בבעלות ציבורית במרכז העיר, ומיקומו זה טומן בחובו אפשרויות רבות לפיתוח המסחר והתיירות, ולפתרון בעית הניתוק של העיר התחתית ממרכזי הדיור והבילוי של העיר.
ברם, קרוב לודאי שהשיקול המכריע שהניע את המוסדות ליזום את הפינוי ואת השיקום בתחילת שנות הששים נבע מהמהומות של יוני 1959, ומן התודעה הציבורית שייתכן שלא נעשה מספיק כדי לגשר על מה שמכנים "הפער בין העדות".
הבסיס להצדקת מפעל הפינוי בעיני הציבור, אם כן, היה הרעיון לתרום באמצעותו לשיקום המפונים מבחינה חברתית וכלכלית, ולהביא בדרך זו למיזוג גלויות. הדעה הרווחת היתה (ובמידה רבה קיימת עדיין היום) שתנאי הסביבה הירודים הם הם שמנעו מאוכלוסית ואדי סאליב, שהיתה מורכבת ברובה מיוצאי צפון אפריקה, התבססות כלכלית וקליטה בחברה הישראלית. ואם גם הכירו בקשיי הקליטה הבלתי נמנעים של דור המבוגרים, הרי האמינו שהדור הצעיר בואדי יוכל להשתזר במהרה בישראל החדשה אם רק ייצא מאוירת הדכאון שבשכונת העוני.
ממצאי מעקב זה מראים לנו שהמציאות מורכבת יותר ממודל פשטני זה. רוב המפונים (כ-75%) העדיף את הפתרון הנוח יותר מבחינת המאמץ הכלכלי הנדרש ממנו, ובחר בדירות חילוף, אף על פי שתנאי המגורים בהן מבחינת צפיפות הדיור ונוחות השרותים, נופלים בהרבה מאלה שבשיכונים. אך חוסר נוחות אוביקטיבי זה, כפי שראינו, איננו מתבטא אצלם בתחושת צפיפות ובחוסר שביעות רצון, אלא דוקא בין דיירי השיכונים הגרים
</t>
  </si>
  <si>
    <t xml:space="preserve">טכנולוגיות לניהול ובקרת חומרים, כ״א וצמ״ה בפרויקט׳ בנייה
פרופ/ח. ר. נבון	אינג׳ א. גולדשמיט
תקציר
העלייה המתמדת במחירים, אי היציבות הכלכלית, התחרותיות הגבוהה, והמודעות הגוברת לייעול, גורמות לחברות בניה רבות להתעניין במערכות לניהול ובקרה של המשאבים העיקריים בפרויקט: כספים, לוחות זמנים, כח אדם, חומרים וציוד. לבקרת תהליך ההקמה של פרויקטי בניה ותשתית השפעה ניכרת על התפוקה, על העלות ועל לוח הזמנים של הפרויקט. בקרה בזמן אמת הכרחית להתראה על חריגות, הסקת מסקנות ונקיטת צעדים ניהוליים מתקנים. תכנון וביצוע נכון של תהליך הבקרה בפרויקטים בכלל, ובפרויקטי בניה בפרט, יכול להפחית בצורה משמעותית את העיכובים הנוצרים במהלך ביצוע הפרויקט והכרחי על מנת להבטיח את הצלחתו ואת העמידה ביעדים.
מטרת הבקרה לאפשר זיהוי מוקדם ככל האפשר של סטיות בין הביצוע לתכנון ולהבטיח כי התכנון, התקציב, לוח הזמנים, והאיכות, יושגו. אם, וכאשר, אחד המרכיבים לא יושג בהתאם לתכנון, יתגלה הדבר מוקדם ככל האפשר ויאפשר לנקוט פעולה מתקנת בהתאם. ככל שהיעדים בפרויקט בניה קשים יותר להשגה, או ככל שרמת חוסר הוודאות גדולה יותר, יש לבצע יותר מדידות ולהשקיע יותר בבקרה. בענף הבניה והתשתית, להבדיל מענפי תעשייה אחרים, עדין ממעטים לבקר את תהליך הקמת הפרויקט, מצב הגורם בין השאר גם לירידה בפריון, לייקור הפרויקטים ולהארכת ִמשכם.
פרויקט בניה מייצר כמויות עצומות של נתונים, איסוף הנתונים הוא ללא ספק צוואר הבקבוק בתהליך ניהול הפרויקט ובקרתו. תהליך הבקרה מחייב איסוף מתמיד ומתמשך של נתונים המייצגים את ביצוע העבודה בפועל. איסוף הנתונים מהשטח הוא אחד המרכיבים העיקריים בביצוע הבקרה. לכמות ולטיב הנתונים הנאספים בתהליך הבקרה ישנה חשיבות מכרעת על איכות הבקרה. איסוף נתונים בצורה ידנית הוא תהליך מייגע הלוקח זמן רב ומועד לטעויות מרובות. אי לכך, איסוף נתונים בצורה אוטומטית יכול להוות פתרון טוב לבעיה. איסוף הנתונים בצורה אוטומטית יכול להתגבר על קשיים שנתקלים בהם כשאיסוף הנתונים מתבצע בצורה ידנית.
המצב הקיים – בו זרימת המידע בפרויקטים היא חד כיוונית מההנהלה לאתר ללא היזון חוזר אל הנהלה – מביא לכך שתהליך קבלת ההחלטות מתבצע על סמך מידע לא עדכני, שגוי, ולעיתים מזומנות גם לא רלוונטי. איכות ההחלטות בעקבות כך ירוד והתוצאות מתבטאות בבזבוז משאבים – דבר שהופך לנורמה מסוכנת. מדבר זה סובלים במידה רבה היזמים, ובראשם המזמינים הציבוריים. חברות קבלניות אינן יכולות לספוג, בד"כ, את הנזקים הנובעים מהבעיות הנ"ל ולכן, על מנת לשרוד, מוצאות דרכים "לגלגל את הכדור למגרשו של המזמין". דבר זה נכון למרות שקיים היצע רב של טכנולוגיות מתקדמות היכולות לסייע בבקרה ובחסכון בתשומות כח
</t>
  </si>
  <si>
    <t>NA</t>
  </si>
  <si>
    <t xml:space="preserve">הטמפרטורה בפני השטח הפנימיים בפינת המפגש בין קיר חוץ מבלוקים לבין רצפה תחתונה מוגבהת מהקרקע נמוכה מזו של החלקים העיקריים של הקיר והתקרה.
כאשר בידוד הרצפה הוא מעל טבלת הבטון, ללא בידוד נוסף בהיקף התקרה או מתחתיה, הטמפרטורה בפינה נמוכה מ- θd ברמת הבידוד הנמוכה של הרצפה (2 ס"מ, התנגדות תרמי של שכבת הבידוד: 0.5 מ"ר קלווין לוואט), ותחום ההשפעה בשטח הקיר הוא אפסי ובשטח הרצפה עד כ- 32 ס"מ (כתלות באיזור האקלימי). אך עם הגדלת הבידוד לעובי של 4 ס"מ (התנגדות תרמית של שכבת הבידוד: 1.0 מ"ר קלווין לוואט) הטמפרטורה עולה מעל θd. כאשר הבידוד התרמי מיושם בצד החיצון של קצה הרצפה ובתחתיתה, באופן שמבטיח את רציפות הבידוד, הטמפרטורה בפינה גבוהה יותר, אך ברמת הבידוד הנמוכות (2-3 ס"מ, התנגדות תרמית של שכבת הבידוד: 0.5-0.75 מ"ר קלווין לוואט) היא עדיין נמוכה מ- מ- θd, עם תחום השפעה של עד 1 ס"מ בשטח הקיר וכ- 64 ס"מ בשטח הרצפה (כתלות בעובי הבידוד והאיזור האקלימי). הטמפרטורה המינימלית בפינה גבוהה מטמפרטורת הטל, θd, רק כאשר הבידוד בתחתית הרצפה ובקצה האנכי שלה עומד בדרישות התקן החלות על האיזור (לפחות כ- 4 ס"מ בידוד, התנגדות תרמית של שכבת הבידוד: 1.0 מ"ר קלווין לוואט).
הבטחת הטמפרטורה הקריטית הנובעת מהדרישה התקנית להתנגדות תרמית מינימלית של 0.6 מ"ר קלווין לוואט בגשר התרמי, (0.6=θsi(rb, קשה מאוד להשגה, ואינה מתאפשרת אפילו ברמות הגבוהות של בידוד שנבדקו (5 ס"מ, התנגדות תרמית של שכבת הבידוד: 1.25 מ"ר קלווין לוואט).
אובדן החום בפועל גדול בכ- 0%-3% לעומת המחושב על פי תכונות החתך המרכזי ומידות קיר מציר לציר (ככל שעובי הבידוד גדול יותר הערכים גדולים יותר).
הממצאים לעייל מעידים כי השפעתו השלילית של הגשר התרמי במפגש קירות בלוקים עם רצפה תחתונה מוגבהת מהקרקע על התפקוד התרמי-אנרגטי קיימת בכל המצבים, אך היא ניתנת לפיתרון כאשר הבידוד התרמי הוא פנימי מעל לרצפה והתנגדותו לפחות 0.75 מ"ר קלווין לוואט, או חיצוני (הן בקיר והן מתחת לטבלת הרצפה) ורצוף לחלוטין. באמצעים אלה ניתן להבטיח טמפרטורה מינימלית בפינה שאינה נמוכה מטמפרטורת הטל, θd. יחד עם זאת, כדי להבטיח טמפרטורה מינימלית שעולה על הטמפרטורה הקריטית הנובעת מהדרישה התקנית להתנגדות תרמית מינימלית של 0.6 מ"ר קלווין לוואט בגשר התרמי, (0.6=θsi(rb נדרשת רמת בידוד גבוהה מאוד ובלתי סבירה מבחינה הנדסית בתחתית טבלת הרצפה ובהיקפה.
</t>
  </si>
  <si>
    <t xml:space="preserve">5.3 תכן וחוזק תערובות הבטון
5.3.1	תערובת בטון על בסיס אגרגט טבעי
5.3.1.1	חוזק הבטון בלחיצה
תערובת ניסיון
בשלב הראשון הוכנה תערובת ניסיון בה נבדק חוזק הבטון בלחיצה בגיל 7 ימים ו-28 יום. לאחר שהתקבלה תערובת בחוזק הנדרש בוצעה בשלב השני יציקה של עשר קוביות בגודל 100/100/100 מ"מ, ושל חמש קוביות בגודל 150/150/150 מ"מ. בנוסף לכך נוצקו שש קורות באורך 28 ס"מ ובשטח חתך של 70/70 מ"מ. דגמים אלה נועדו לביצוע בדיקות של חוזק הבטון בלחיצה, חוזק הבטון במתיחה בכפיפה, חוזק הבטון במתיחה בבקיעה ומודול האלסטיות כפי שיפורט בסעיף הדן בתכונות התערובות הסופיות.
מרכיבי תערובת הבטון הראשונה מוצגים בטבלה מספר 5.5 ונתוני חוזק הלחיצה של תערובת הניסיון מתוארים בטבלה מספר 65.. בתערובת זו הסומך היה 185מ"מ, המשקל המרחבי 2270 ק"ג/מ"ק ותכולת האוויר 2.1%.
תערובת סופית
מרכיבי תערובת הבטון הסופית של בטון עם אגרגט טבעי זהים למרכיבי תערובת הניסיון ומתוארים בטבלה מספר 5.5. בוצעו שתי סדרות של יציקות (במועדים שונים). ערכי חוזק הלחיצה של התערובת הסופית בגיל 28 יום מתוארים בטבלה מספר 75.: תערובת של סדרה 1 - סומך התערובת היה 209 מ"מ, המשקל המרחבי 2255 ק"ג/מ"ק ותכולת האוויר 1.9% (10 תוצאות ראשונות בטבלה); תערובת של סדרה 2 - סומך התערובת היה 162 מ"מ, המשקל המרחבי 2307 ק"ג/מ"ק ותכולת האוויר 1.6% (5 התוצאות האחרונות בטבלה). השוני בסומך התערובות יכול לשנות במעט את תכונות הבטון הקשוי. מבחינה של תוצאות בדיקות החוזק ניתן לראות שחוזק הלחיצה של הסדרה השנייה יותר גבוה.
טבלה מספר 5.5 - רכיבי תערובת בטון עם אגרגט שומשום טבעי
תכן תערובת לאגרגט במצב יבש (עבור מ"ק)
חול טבעי (ק"ג)	חול מדורג (ק"ג)	אגרגט טבעי שומשום (ק"ג)	מים (ק"ג)	צמנט (ק"ג)	W/C
478.2	468.1	624.4	268.4	400	0.6
</t>
  </si>
  <si>
    <t xml:space="preserve">7.9.3	רמת חיים - בעלות רכב
משתנה זה בא לתאר הן את רמת החיים של הנשאל והן את רמת נגישותו האפשרית לגנים אחרים. מבין כלל הנשאלים 71% הם בעלי רכב פרשי. אחוז גבוה יותר של רכב נמצא בכל השכונות פרט לקרית אליעזר בה שיעור הבעלות הוא רק 39%. הבדל זה בין השכונות יאפשר בשלב הבא לברר מה מידת הקשר בין רמת חיים ודפוסי שימוש בשט״פ.
7.10	שביעות רצון מהגן
משתנה זה מתאר את מידת שביעות הרצון של המשתמש מהגן בו רואיין. אין לו חשיבות ישירה בבדיקת השערות המחקר אולם הוכלל ביחד עם נתונים נוספים ע״מ לקבל מושג על רמת הציפיות של הנשאל מסוגי פיתוח שונים ולשמש כרקע לנתוח דפוסי השימוש השונים בשטחים הפתוחים השונים.
מניתוח תשובות הנשאלים ניתן לראות כי מרבית הנשאלים שבעי רצון מהגנים. רק 17% ציינו כי אינם מרוצים. לשביעות רצון מירבית זוכה הטיילת בקרית אליעזר וזאת אולי משום שהיא משמשת למגוון של פעילויות , כולל מעבר להולכים ושבים בין חלקים שונים של השכונה. כן מציעה הטיילת פעילויות המתאימות לקבוצות גיל שונות, בעיקר פעילות פאסיבית הדרושה ע״י קבוצות גיל יותר מבוגרות. שביעות הרצון גבוהה בשאר הגנים נובעת מכך שמראש, רק האוכלוסיה הנזקקת למתקנים המוגבלים נוטה לפקוד אותם, ועבורה המתקנים אמנם עונים על הציפיות. אולם בעיגול קיים כנראה פער בין הציפיות לבין ההצע, אף שהעיגול מושך אוכלוסיה בעלת מאפיינים מאוד מסויימים. יש לציין שהעדרותם של קבוצות גיל שלמות ממדגם המשתמשים (6 - 18) מעיד בעליל על אי שביעות רצון עד כדי כך שאינם פוקדים את השט״פ כלל.
7.11	הצורך בשיפורים וסוג השיפורים הדרושים
נתונים אלו מתארים את רצון המשתמשים בשיפורים בגן ואת סוג השיפורים המבוקשים, כגון ציוד, גינון, שרותים או נקיון. גם נתון זה אינו קשור ישירות למטרות המחקר אלא מיועד לשמש כרקע להבנת ההבדלים בדפוסי השימוש ושביעות הרצון
בין הגנים השונים.
אחוז דורשי השיפורים בגנים מקביל לדרוגם לפי מידת שביעות הרצון מהם. יחד עם זאת, בכל הגנים רואים למעלה מ- 60% מהמבקרים מקום לשיפורים־ בכל הגנים להוציא קרית אליעזר, השיפור המבוקש ביותר הוא ציוד לילדים (כולל גן דניאל, בו אחוז הילדים המבקרים כיום, כפי שראינו נמוך ביותר). יתר השיפורים הדרושים משתנים מגן לגן, בהתאם למאפיינים הספציפיים של הגן, כגון צל. המודעות לצורך במתקנים לפעולות אקטיביות למבוגרים קטנה מאוד (להוציא גן דניאל שם הפרוש אשר מן הסתם ניתן לשאלה זו, התיחס למתקני הספורט הפורמאליים הקיימים שם).
</t>
  </si>
  <si>
    <t>Characters_N (No spaces)</t>
  </si>
  <si>
    <t xml:space="preserve">המשמעות הראשונה היא הקיצונית ביותר ונקוטה לעתים ע״י בעלי קרקע פרטיים. פרושה שאם הופקע חלק ממגרש ללא תמורה יכול האזרח לצפות לא רק כי יוכל לנצל את היתרה במלוא אחוזי הבניה המקוריים, אלא גם ששווים הכולל של המקרקעין שנותרו לא יפחת כלל. לצורך הבנת עמדה זו יש לזכור שאמנם שווים של מקרקעין תלוי במידה רבה בשיעור הבניה המותר בהם, אך לא רק בכך: שוויו של מגרש גדול יותר בעל אותן זכויות בניה כוללות יהיה רב יותר מאשר שווי מגרש קטן יותר. פרושו של דבר שלפי עמדה זו, הפקעה ללא תמורה ניתנת לבצוע רק במקרים בהם תחול השבחה מסויימת למקרקעין עקב ההפקעה אשר תקזז את ירידת הערך.
פרוש זה אינו סביר שכן הוא פועל נגד העובדה שהורחבה רשימת הייעודים המותרים להפקעה ללא תמורה לפי חוק התכנון. הוא גם לא נתקבל עייי בג״צ בענין גולדנברג. שם הופקע שטח לכביש לאחר שהמגרש היה בנוי. העותרים טענו (כאחת מטענותיהם החלופיות) כי יש בכך פגיעה ביתרת המגרש. בג״צ קבע כי:
אין בכך משום הפחתה של 'שוויה של יתרת המגרש׳;
המגרש נוצל במלואו על ידי כך שהוקם עליו הבית המשותף;
ולאחר שהבית עומד על תלו בכל שטח המגרש שניתן היה לבנות עליו לאורכו, לרוחבו ולגובהו, שוב שוויו של המגרש אינו יכול להיות מושפע ומופחת עוד על-ידי 2 הפקעת מקצתו".
הסייפא של הציטוט הוא כמובן מוטעית שהרי שווי המגרש במונחים שמאיים בהחלט יכול להיות מושפע ע״י הפקעת מקצתו. הפרוש שנותן בג״צ להוראה הנדונה ברור: אין הוא מקבל גירסא אי. אולם ההלכה אינה ברורה. פסק דין זה לאור עובדות המקרה, עולה בקנה אחד הן עם גירסא ב׳ והן עם גירסא ג'.
גירסאות ב' ו־ ג׳, קשורות בשאלה כיצד יחושבו זכויות הבניה לאחר ההפקעה. לפי הפרוש השבי, יחשבו זכויות הבניה בשיטת "ברוטו", דהיינו, סך כל השטח טרם ההפקעה, כאילו היה זה השטח האמיתי. לדוגמא, אם מותרים 100% בניה על דונם, והופקעו 40%, יותרו לבניה לפי גישה זו 1000 מ״ר אף כי הופחת שטח המגרש.
</t>
  </si>
  <si>
    <t xml:space="preserve">3.2.1	המסגרת התחיקתית אשר בר. התכנון מתבצע
מימד זה מגדיר את הזיקה בין התכנון לבין המערכת התחיקתית.
התכנון העירוני והאזורי מעוגן בחוק בבריטניה, בישראל ובמרבית המדינות בארה״ב (שם אין חוק פדרלי המחייב תכנון).
בבריטניה, מערכת התכנון פועלת על פי ה- Town &amp; Country
Town &amp; Country Planning Act -אשר החליפו את ה ,Planning Acts 1971, 1972
1947. מטרת שנוי החוק היתה, זרוז ופשוט הליכי התכנון והגדרת שתוף הצבור (1975 Hagman), זאת על רקע אי שביעות הרצון מנוהלי התכנון לפני כן והקושי לאשר תכניות במערכת הצנטרליסטית.
קודם לכן, הוחלף ה-1947 Act את ה-1932 Act, במטרה להרחיב את מסגרת התכנון ולהגמישה ע־ל פי דרישות הזמן.
בישראל, התכנון ממוסד על פי חוק התכנון והבניה 1965 (תשכ״ה), אשר החליף את פקודת בנין ערים המנדטורית. פקודה זו דומה ל-1932 Act האנגלי.
בארה״ב, מרבית המדינותחוקקו חוקי תכנון התואמים את ה-
(Standard State Zoning Enabling Act (SZEA, אשר הוצע ע״י משרד המסחר הפדרלי
Standard City Planning Enabling Act -וה (Standard Act - ב-1922 (דוגמת חוק
(SPEA) אשר הוכן ע״י משרד המסחר הפדרלי ב-1928. חוקים אלה מסדירים נושאי איזור (Zoning) וחלוקה.
בשנים האחרונות, פתח ה- American Law Institute דוגמא מתקדמת וחדשנית לחוק תכנון ופתוח - Model Land Development Code - המיועד לשמש כבסים חדש לחוקי המדינות השונות. בארה״ב קיימים מספר חוקים פדרליים בנושאי יעוד ושמוש בקרקע, בעקר בנושאי איכות הסביבה; בין מאפייני חוקים חדשים אלא - הכללת סעיפים המחייבים וממסדים שתוף הצבור.
3.2.2	הקשר בין התכנון המקומי והתכנון המחוזי/ארצי •
מימד זה מתאר את סמכויותיהם של רשויות התכנון השונות ונושאי התכנון אשר בטיפולו, תוך הדגשת הררכיה וכפיפות ביו מוסדות תכנון ותכניות בדרגים השונים, אם וכאשר הם קיימים.
בבריטניוז בעשרות השנים האחרונות, חוקי התכנון שונו מספר פעמים.
</t>
  </si>
  <si>
    <t xml:space="preserve">זהירות במחלקת התכנון בחיפה □יעוד שטחים להפקעה. גם □וועדה המחוזית בחיפה הובעה דעה שלילית על הנוהג לדחות את מועד ההפקעה וזאת מחשש שהדחייה חושפת את הרשות לתביעות משפטיות העלולות לעלות לרשות ביוקר.
2.2.2	הפקעות בתמורה - סכות פקודת הקרקעות (רכישה לצורכי ציבור)
(8) השימוש באפיק זה של הפקעות על-ידי הרשויות המקומיות הוא נדיר . משרד האוצר (חתימת שר האוצר נדרשת לביצוע הפקעה מכוח הפקודה) אינו נוטה היום לאשר בקשות להפקעת שטחים מכוח הפקודה עבור צורכי ציבור, היות וועדות	התכנון	יכולות לפעול	באמצעות חוק התכנון והבנייה.
בקשות להפקעה	בדרך	זו מוגשות לכן	רק במקרים מיוחדים.	לדוגמה,
עיריית חיפה	הגישה בקשה להפקעת חלקה לצורכי ציבור שרשומה	בבעלות
משותפת (חציה	בבעלות	העירייה וחציה	פרטית) דבר שהיווה קושי	לביצוע
(9)
הפקעה על-פי חוק התכנון והבנייה .
הפקעת שטחים נרחבים באמצעות הפקודה, נעשתה בחיפה לפני כעשר שנים, וגם אז היו לכך סיבות מיוחדות. המדובר הוא בשטחים בכרמל שעליהם מוקמת עתה שכונת "רמות אלון". בשטחים אלו לא היתה תכנית פרצלציה למרות שחלקות נרשמו בטאבו ונמכרו לבעלים פרטיים. הניסיונות להכין תכנית רפרצלציה בהסכמת הבעלים לא הצליחו, ולא ניתן היה להכין תכנית (10)
רפרצלציה ללא הסכמה, כשחסרה חלוקה ראשונית של הקרקעות. נימוק נוסף שניתך בעיריית חיפה לביצוע ההפקעה הוא שהשטח בו מדובר היה קשה לגישה והצריך עבודות פיתוח גדולות שרק יזם המפתח במרוכז את כל השטח יכול לעמוד בהן. השטחים המופקעים נמסרו למשרד השיכון והוא שמימן את תשלום הפיצויים לבעלים.
</t>
  </si>
  <si>
    <t xml:space="preserve">2.2	מאפיינים חברתים-דמוגרפים
2.2.1	גיל האובלוסיה
ערי הפיתוח הן ערים חדשות שאוכלוסייתן מאופינת במבנה גילאים צעיר יחסית בהשוואה לאוכלוסייה היהודית בישראל. בקרב אוכלוסיית ערי הפיתוח בולטת שכבת הגיל הרחבה של ילדים ובני נוער, גילאי 19-0 שנים ושיעור נמוך של קשישים מעל גיל 65 שנים.
שש הערים שנבדקו במסגרת מחקר זה דומות לכלל ערי הפיתוח. בשנת 1972 היוותה קבוצת הילדים ובני הנוער כ-50% מכלל האוכלוסיה בכל אחת משש הערים. בירוחם היתה קבוצת גיל זו גדולה במיוחד (54%) ולעומת זאת בערד היתה הקבוצה קטנה יחסית (42.8%). בין השנים 1972 ל-1983 חלה ירידה בגודל שכבת גיל זו שהצטמצמה בגלל הירידה בילודה וההזדקנות הטבעית של האוכלוסייה, כך שב-1983 היא ירדה ל-44% מכלל האוכלוסייה. הקשישים -קבוצת הגיל מעל 65 שנה, היו קבוצת גיל קטנה מאוד בשנת 1972 שמנתה כ-4%-3% בלבד מכלל אוכלוסיית ערי הפיתוח שנסקרו וזאת בדומה למצב במרבית ערי הפיתוח בישראל. בשנת 1983 גדל משקלה של קבוצת גיל זו ל-6%-5% מכלל האוכלוסייה.
לאוכלוסיית הילדים והקשישים משפיעה על יחס התלות שמבטא את הקשר בין מספר המפרנסים לבין האוכלוסייה התלויה בהם. ברוב ערי הפיתוח במדינה נמצא יחס תלות גבוה מ-1.0. בערי הפיתוח שבמחקר נמצא יחס תלות גבוה פרט לקרית שמונה. משמעות ממצא זה היא שבערים אלה ההכנסה לנפש עלולה להיות נמוכה ולכך השפעה על רמת הצריכה ורמת החיים במקום. לעובדה זו, ללא ספק, יכולה להיות השפעה שלילית על מגמות ההתפתחות של שירותי המסחר, השירותים הפיננסיים והשירותים האישיים.
2.2.2	גודל משק הבית
גודל משק )הבית או מספר הנפשות במשפחה, משפיע על רמת ההכנסה לנפש וצפיפות הדיור, ולפיכך משתנה זה משקף רמות של רווחה או מצוקה.1 המגמה הארצית לאורך השנים היא של צימצום הדרגתי בגודל משק הבית וערי הפיתוח עוברות אף הן תהליך זה. בשנת 1972 היה גודל משק בית ממוצע בקרב האוכלוסייה היהודית בישראל, 3.4 נפשות לעומ^4.3 1בממוצע באוכלוסיית ערי הפיתוח. בשנת 1983 ירד גודל משק בית ממוצע באוכלוסייה היהודית בישראל, ל-3.2 ובערי הפיתוח ל-3.6. דהיינו, הפערים הצמטמצו במידה ניכרת.
</t>
  </si>
  <si>
    <t xml:space="preserve">בועדות התכנון (ורנסקי, אלתרמן, צירצימן 1986), ובמחקרים אשר בחנר את שיתוף הציבור בפרויקט שיקום השכונות (אלתרמן, צ'רצ’מן, לו-יון, אלתרמן 1980; צירצימן, 1985, 1988).
חיבורים רלוונטים ביותר לקונפליקט בתכנון העירוני והאזורי נמצאים בפרסומים רבים ממדעי החברה, המדינה והמינהל^1/
אני מניחהם כאן, בדומה למחברים רבים לפני כי קיימים מרכיבים משותפים בקונפליקטים, המופיעים בתחומים השונים בהם מעורב האדם. למסקנות מלימוד תחום אחד עשוייה להיות תועלת בבואנו להבין קונפליקט בתחום אחר.
2.2	המונח והגדרוחיו
בין החוקרים קיימות דעות שונות באשר להגדרתו של המונח קונפליקט וכן באשר למשמעות המיוחסת למושגים השונים הכרוכים בתופעת הקונפליקט. בין הסיבות לריבוי המונחים ולמשמעויות, הניבדלות לעתים קרובות באופן ניכר, לאותו מונח עצמו:
‏א.	החוקרים פעלו בנפרד ובמקביל בדיסציפלינות שונות בלא מערכת מושגית - מילונית מנחה•
‏ב.	הדגשים הקונצפטואליים מחד והדקויות המושגיות מאידך מושפעים על ידי אופיים המיוחד של סוגי הקונפליקטים שהם נושא מחקריו של החוקר, ע״י תחום עיסוקו והתמחותו וכן על ידי הערכים האישיים והחברתית אשר הנח ו הו בעבודתו.
מקורו של המונח קונפליקט (Conflict) מלטינית: יחר=תס0
הלם, ה ^־.=Fligere . בעיקבות המקור הלשוני, יש המגדירים את המונח וכפועל יוצא מכך תוחמים את משמעותו כמנוגד לתחרות (Conpetition - יחד=מס0 חפש=Petere).
</t>
  </si>
  <si>
    <t xml:space="preserve">בעיית ה"טרמפיסט" - קיימים פרטים החוששים שהערכתם תשמש בסיס לקביעת מחיר, ויעדיפו לגלות הערכה נמוכה, ככל האפשר, בתקווה להשפיע על תוצאות המחקר ולהשיג משהו ללא תמורה. (1979 ,1971) Bohn מציע דרכים שונות להתגבר על בעיה זו, באמצעות הצגת השאלות באופנים שונים לקבלת טווח רחב של ערכי הנכונות לשלם. (1979) Maital סוקר עבודות מחקר שונות המטפלות בשאלה, כיצד ניתן לגרום לפרטים לגלות את העדפותיהם האמיתיות, כאשר יש להם אינטרס כללי להצהיר על ערכי נכונות לשלם נמוכים יותר? (1974) Kurz מציע מהלך בן שני שלבים, לפיו בשלב ראשון מוערכת הסבירות שמייחס הפרט ליישום הפרוייקט, ובשלב שני נקבעת נכונותו לשלם. החוקר מדגים כיצד שימוש במקביל בגירסאות שונות של תכנית זו יביא לגילוי מלא של ההעדפות.
התאמה לציפיות - מהלאל (1976), (1988) Bates ו-Ortuzar and Willumsen (1990) מזכירים מניע נוסף להטיות, שמקורו בהתלהבות יתר או ברצון הנשאלים להתאים את התשובה לציפיות מסוימות, גם כאשר המשאל נערך באופן אנונימי. (1990) Bradley and Kroes מכנים השפעה זו כאפקט "המצפון החברתי". כמו כן, יהיו פרטים אשר לא יבינו בבירור את כל 1327השאלון ולמרות זאת יתנו תשובות המכילות הרבה טעויות אקראיות. אם זה על מנת למלא את "התחייבותם החברתית" ואם זה כדי להימנע ממצב מביך.
טעות בדיווח - (1990) Bradley and Kroes מציינים, שמידע מדויח בנושאים כמו רמות הכנסה, זמני יציאה וחזרה ומשכי נסיעה, מהווה בדרך כלל אומדן המכיל הטיות אקראיות ובלתי אקראיות.
חוסר ניסיון - מגבלה נוספת הנובעת מתפיסת הפרט קשורה בשאלה, עד כמה משקפים ערכי הנכונות לשלם, עבור תכנית היפותטית, שינויים ברמת התועלת, אשר טרם נתפסו ונתקבלו על ידי הפרט (1979 ,Freeman).
(1990) Ortuzar and Willumsen מתייחסים לסוגייה זו כבעיית "החלופה החדשה", המצריכה חיזוי של הביקוש למתקן תחבורתי אשר אינו קיים בהווה,
</t>
  </si>
  <si>
    <t xml:space="preserve">!!. מנחות ומסקנות כלליות
1.	קצב השינוי בחברה החרדית
חשוב להבין שהחברה החרדית היא במהותה חברה ה״חרדה" מפני שינוי. כל שינוי ולו הקטן ביותר יכול להיות הפירצה שתפתח את הסכר ותביא למבול. על כן אין לצפות לשינוי מהיר בשום נושא (לדוגמא ביחס לתעסוקת גברים). אם כבר מתרחשים שינויים, המגמה שלהם בשנים האחרונות היא לכיוון של יותר התבדלות ולהחמרת האיסורים, ולא להגמשתם.
על כן, ניתן להניח שסגנון החיים של האוכלוסייה החרדית בבני ברק לא תשתנה בטווח הנראה לעין באופן מהותי. הגברים ימשיכו ללמוד לאורך שנים רבות, המשפחות תמשכנה להיות גדולות, עול הפרנסה יפול בעיקר על כתפי הנשים ומצבם הכלכלי של משקי הבית ימשיך להיות קשה. אומנם, אנשים אלה מוכנים לשלם את מחיר הסגנון הזה, הנובע מערכים חשובים מאד עבורם; אך האתגר בתכנית האב הוא לבחון את האפשרות לשפר את איכות החיים של אוכלוסיית העיר על אף אילוצים אלה.
אמנם, העובדה שלרבנים יש השפעה גדולה מאד ואף לעתים מכרעת על התנהגות המקבלים את מרותם, מעלה את האפשרות שאם הרב ישנה את דעתו ביחס לנושא מסוים זה יכול להביא לשינוי מהיר יחסית. אך, מצד שני, הרבנים רגישים מאד למה שרבנים אחרים פוסקים ומעטים המוכנים להכניס שינוי דרסטי לכיוון הקלה.
2.	האוכלוסייה החרדית מעוניינת להמשיך להתגורר בעיר
היא תעשה כך גם אם תנאי המגורים והשירותים ימשיכו להיות לא אידיאליים.
הרצון להישאר בבני ברק נובע משלושה טעמים עיקריים (כאשר כרגע איננו יודעות מה סדר החשיבות ביניהם. נדע יותר לאחר הסקר) : (א) רצון להיות קרוב למשפחה גם כדי לזכות בתמיכה רגשית וגם עבור העזרה ההדדית שזה מבטיח (גם כספית אבל גם עזרה בטיפול במשפחה וכדו׳); (ב) ראיית בני ברק כמקום ייחודי, קדוש וכדו׳ שמצווה לגור בו. במקומות אחרים לא ניתן ליהנות מהאווירה המיוחדת ומהמוסדות והאנשים המיוחדים הנמצאים בו. (ג) הפחד מפני מגורים בסביבה חילונית "מופקרת", במיוחד מבחינת הסכנה של השפעה על הילדים והחשיפה לבעיות כמו סמים, אלימות וחופש מיני. יחסה של החברה בחרדית לחברה החילונית והדימויים שיש לה על חברה זו, משפיעים לא רק על סירוב לחיות בין חילוניים, כי אם לבוא במגע מתמשך איתם, במיוחד כאשר מדובר בילדים שלהם.
</t>
  </si>
  <si>
    <t xml:space="preserve">1.	מבוא
הסיכוי להניע את גלגלי החדשנות באזורים נחשלים, היא שאלה המעסיקה חוקרים רבים בתחום מדעי האזור. מחקרים רבים מנסים לזהות ולהגדיר את הגורמים העשויים להשפיע על התפתחותה של חדשנות במפעלים הממוקמים באזורים פריפריאלים. אלה יוכלו לשמש כמשתנים במדיניות ציבורית המכוונת לעודד את יצירתה של החדשנות באזורים הללו.
התרומה של חדשנות לשינויים בכלכלה האזורית, באה לידי ביטוי באופן נרחב בעבודות אשר דנו בצמיחה ופיתוח כלכלי (Suarez-Villa 1993; Freeman, et al. 1982; Nelson and Winter.(1982; Jorgenson et.al. 1988; Baumol et al. 1989; Schmookler 1966; Rosenberg 1972). 
פיתוח תעשייתי נחשב מאז ומתמיד לכוח המניע את הצמיחה הכלכלית של אזורים פריפריאליים. במרבית העולם המערבי, נוטה התעשייה להתרכז בתוך או בשולי הערים הגדולות ובאזורים המטרופולינים. שם קיימת נגישות נוחה למוסדות שלטוניים, מאגר מגוון וגדול של כוח עבודה ורשתות תחבורה ותקשורת מפותחות. בהשוואה לאזורים המטרופולינים, אזורי הפריפריה נאבקים בתנאי מיקום נחותים, המגבילים את הפיתוח התעשייתי.
מחקרים רבים שנעשו בשנים האחרונות, עוסקים בזיהוי משתנים המשפיעים על בחירת המיקום הגיאוגרפי המועדף של מפעלים תעשייתים. קירבתן של פירמות מחדשות למוסדות בהן פעילות מחקרית ענפה, היא חיונית ביותר בשלבים הראשונים של התפתחותן (Shefer and Bar-El 1993). בשלב ההתחלתי בתעשייה עתירת הידע, דרוש קשר ישיר ואמיץ עם מוסדות המחקר המעניקים לה שירותי יעוץ והכוונה ומאפשרים לה להשתמש במתקנים וציוד טכנולוגי. השלב של ”התבגרות המוצר“ בא לידי ביטוי בתהליך יצור שיגרתי והמוני של המוצר אשר כבר התבסס בשוק. לכן, שיקולים של כדאיות כלכלית הם אלה הפועלים על ההחלטות בדבר העברת הפעילות היצרנית לשולי המטרופולין או אפילו לאזורי שולים, שם מרכיב הקרקע זול יותר ותשומות כוח האדם הנדרשות הן ברמה נמוכה יותר. בשלב זה הקשר עם מוסדות המחקר אינו קריטי, ולכן הקרבה הגיאוגרפית למוסדות אלה תופסת מקום משני בלבד בשיקולי המיקום של המפעלים.
בעבודה זו מוצגות תוצאות של מחקר אמפירי בו יושם לראשונה המודל המשולב אשר פותח על ידי Frenkel and Shefer (1997). באמצעותו ניתן להעריך את יכולת ופוטנציאל החדשנות של אזורים שונים, כפונקציה של תכונותיהם הבאות לידי ביטוי בהימצאותם של כוחות כלכליים - אגלומרציות ושל מבנה התעשייה. ייחודו של המודל בא לידי ביטוי בהתבססותו על שני מודלים מוכרים מהספרות: מודל הלוגיט והמודל הביזאני, תוך שילוב יתרונותיהם.
בחלק השני תוצג סקירה ספרותית אודות הקשר שבין חדשנות טכנולוגית לבין פיתוח וצמיחה אזורית. בחלק השלישי יוגדר המודל המשולב ותכונותיו, בחלק הרביעי תוצג המסגרת האימפירית של המחקר ובחלק החמישי יובאו הממצאים אשר התקבלו מניתוח הנתונים של מדגם מפעלים הממוקמים באזור הצפוני של ישראל, ולבסוף יוצגו המסקנות הנגזרות מניתוח זה.
</t>
  </si>
  <si>
    <t xml:space="preserve">ממלא תפקיד חשוב הרבה יותר מאשר המוצא האתני, בקביעת הזדמנויות הדיור הפתוחות בפניו; השנייה - תהליכי מיזוג הגלויות בשכונות הישראליות מתקדמים, בהתאם למדיניות השיכון המוצהרת, ולמרות שהביצוע בפועל בעשרים השנים הקריטיות הראשונות, שבהן בוצעה רוב הבנייה הציבורית, לא קידם את המדיניות המוצהרת הזו.
השפעה על הנוף האורבני של ישראל
למדיניות השיכון הציבורית היתה השפעה רבה על עיצוב הנוף האורבני של ישראל, בעיקר באמצעות הבנייה הציבורית. הארכיטקטורה והצורה החזותית של השיכון הציבורי משקפים את השינוי וההתפתחות שחלו בחברה הישראלית: מאדריכלות המצוקה של קופסאות בטון דו-קומתיות בשנות ה־50, לשיכוני הרכבת הגדולים בשנות ה-60, לאדריכלות מבננים "מצודתיי□" בשנות ה-70 ושיבה אל בינוי ואדריכלות של רחוב עירוני מסורתי בשנות ה-80 (קרויאנקר, 1991).
טיפוס הבית הנפוץ ביותר בשנות ה-50 המוקדמות היה בניין ל-4 משפחות בשתי קומות, כששטח כל יחידת דיור היה 32-29 מ״ר, כולל מטבח ושירותים. בניינים דלים אלה פוזרו בשטח במתכונת "ערי גנים", הממקמת בניינים נפרדים לאורך מערכת כבישים, בדרך כלל טבעתיים, כששטחים ירוקים גדולים מפרידים ביניהם. יש טוענים, שמשרד השיכון התכוון לאפשר לדיירים להשתמש בחלקות הקרקע שברשותם לגידול מזון, בהתחשב ב״תקופת הצנע" המפורסמת. עגבניות לא גודלו בשטחים אלה, אך חדרים צמחו ונוספו בהדרגה. בשנות ה-80 וה-90 נמצא בשכונות ותיקות אלה, כמו קטמון א-ד׳ בירושלים, מורשה ברמת השרון ורמות רמז הוותיקה בחיפה, בתים אופנתיים, מרובי חדרים, שבפנימיותם מסתתר חלק מן המבנה הישן. הם מאוכלסים במשפחות של המעמד הבינוני, שהשכילו לנצל את הפוטנציאל שהיה טמון בשכונות העירוניות הישנות, בעלות המבנים הנמוכים והשטחים הפתוחים הרבים.
האדריכלות שהיתה לה השפעה שלילית קשה על הנוף האורבני בישראל היא אדריכלות השיכונים הסטנדרטיים, שנבנתה בעיקרה מסוף שנות ה-50 עד אמצע שנות ה-70, השנים שבהן נוסדו רוב השיכונים הציבוריים ורוב ערי הפיתוח. מספר מצומצם של תכניות סטנדרטיות לבניינים ודירות, שהוכנו באופן מרוכז במשרד השיכון בתל-אביב, שובצו בבינוי שבוצע בכל רחבי הארץ, עם התייחסות מינימלית לתנאי אקלים וטופוגרפיה שונים, שלא לדבר על אוכלוסיות בעלות צרכים מיוחדים ושאיפות שונות. בניינים בני 4-3 קומות, מסודרים כרכבות בנות כניסות אחדות, ובהם דירות בנות 45 מ״ר או 56 מ״ר (ק/45 ו-ק/56), נבנו בקרית שמונה, בקרית גת ובשיכונים של תל-אביב, חיפה וירושלים. תכניותיה□ עוצבו בהשראתה של האדריכלות הקורבוזיאנית, זו שנכשלה בפנג׳אב שבהודו ובברזיליה שבברזיל, כמו גם בבריטניה ובארה״ב (7 .Hall, 1988, ch), זו אשר הכשילה גם את מתכנני השיכונים של ישראל. השם הרע שיצא לשכונות השיכון הציבורי, בשל הצירוף של בינוי הומוגני ובלתי מותאם לתנאים הסביבתיים ולתושבים הספציפיים, עם איכלוס הומוגני, בדרך־כלל בקבוצות חלשות, לא הרפה מן השכונות והעיירות הללו במשך עשרות שנים, גם כשהוסיפו להן בנייה שונה וטובה יותר
</t>
  </si>
  <si>
    <t xml:space="preserve">3.	הרשויות הציבוריות.
פירוטן של קבוצות העניין, השחקנים הראשיים, לפי הקטגוריות הנ״ל הוא כדלקמן:
1.	ספקי הקרקע
‏א.	מנהל מקרקעי ישראל.
‏ב.	בעלי קרקע פרטיים.
2.	הצרכנים
א. צרכני השירותים הציבוריים.
לדעתה של אלתרמן (ראיון 17.7.94) "בעלי הקרקע הפרטיים, בתפקידם השני הם צרכני שירותים ציבוריים".
3.	הרשויות הציבוריות
א. רשויות התכונן (הועדות המחוזיות והמקומיות) והרשויות המקומיות.
ההנחה במחקר זה היא, שיעדי שתי הרשויות הציבוריות הנ״ל שזורים מאוד ואינם אמורים להתנגש ולהתעמת, אלא להתחבר ברמה המקומית של הישוב, במטרה לקדם השגת יעדים לרווחת הציבור, יעדים הקשורים בתכנון העיר ויעדים פיסיקליים ושוויון כלכלי, לפחות ברמה התיאורטית ובקיומו של מיגהל תקין. כאשר רשויות ציבוריות עליהן "לשמור על אינטרסים של הציבור בכללו״ (השופט אגרנט, בע״א 254.64, חסין נגד המועצה המקומית דאלית אל־כרמל). כך האחריות הציבורית בנושא הקצאת קרקע לצורכי ציבור, נופלת על שתי הרשויות הציבוריות הנ״ל. חשוב לציין, שקיימים מתחים רבים בין ועדות תכנון - במיוחד המחוזיות ־ ובין הרשויות המקומיות הערביות, אי לכך נפרט ונתמקד יותר ביעדיהן של הרשויות המקומיות בעת ההערכה.
יעדיהן של קבוצות העניין במחקר
מטרת הפעילות התכנונית, באופן כללי, היא לשפר את רווחת הקהילה, בהתאם לכך, התכנון עוסק בהשגת יעדים במטרה לשפר את רווחת האנשים בתוך הקהילה. "השגת יעד היא ה־ OUTCOME של רמת הרווחה של חברי החברה"
(Lichfield, Kettle, Whitbread, 1975 : 26)
היעדים השונים עלולים להתעמת ביניהם; שיפור בהשגת יעד מסויים ימומש על חשבון אחר.
</t>
  </si>
  <si>
    <t xml:space="preserve">6.	פיבורן ־ דוחן, נ. ודנין, א. (1991) המגדיר לצמחי בר בישראל.
‏ב.	מפות 1תצלומים:
1.	להב, ח. ופרקש, מ. (1980) כרמל - סקר טבע ונוף (אוגדן מפות). החברה להגנת הטבע.
2.	מפת סימון שבילי הכרמל. קנה מידה: 1:50,000. הודפס ע״י אגף המדידות, 1986.
3.	מפות שטח שיפוט המועצות המקומיות עוספיה. עיבוד ל018 ע׳י צוות התכנון.
4.	תצלומי אוויר - 1:5000 ע״י חברת אירופן מיום 21/9/95.
5.	מפות טופוקדסטריות של האזור 1:10,000 אגף המדידות.
6.	מפות סקר משאבי טבע ונוף משלב א׳ של עבודה זו.
‏ג.	סקר שדה של שטח השיפוט ושל שטחים נבחרים הגובלים בו. הסקר נערך בחודש פברואר 1997 ומאי 1998. במהלכו נסקרו יחידות השטח על פי מאפייניהם המורפולוגיים, צומח, שיפועים ומידת התערבות האדם במערכות הנוף. הסקר שימש בהכנת מפה 2.
‏ד.	ראיונות עם אנשי מנהל ומקצוע בפארק הכרמל, ברשות לשמירת הטבע והגנים הלאומיים, בחברה להגנת הטבע ובמועצות המקומיות. ראיונות אלה שימשו בסיס נוסף לקביעת רמות הרגישות כמתואר במפה 4. הראיונות איפשרו לנתח את העמדות והאינטרסים של הצדדים לגבי ייעוד השטחים שבמחלוקת.
הגדרת השטחים והיקפם
בבדיקה נסקרו חמישה סוגי שטחים (ראה מפה מספר 1):
</t>
  </si>
  <si>
    <t xml:space="preserve">פרק 6:
כלים לשמירת שמורות טבע וגנים לאומיים
פרק זה מתמקד בשטחים פתוחים המוגנים באמצעות הכרזת□ בכלי□ מישפטיי□ בשמורות טבע או גנים לאומיים, הכרזה הגוררת דרכי ניהול מיוחדות. דהיינו, כאשר מדובר בדרגת שמירה גבוהה זו, אין מסתפקים בדרכים השליליות של מניעת הפיתוח העירוני, אלא נוקטים גם בדרכים חיוביות של ניהול יוזם. בפרק זה נתמקד בכלים המיוחדים המיועדים לשמירה של שמורות טבע וגנים לאומיים, אך כמו בפרק הקודם, נזכיר שהכלים הכלליים המיועדים לשמירה של שטח פתוח באשר הוא, שהצגנו בפרק 4, חלים גם כאן. (לעיתים, לא נוכל להימנע מחפיפה מסויימת עם דברים שנאמרו כבר בפרק הכללי.)
ראשיתו של רעיון להעניק שמירה מיוחדת לשטחים בעלי ערך סביבתי גבוה נמצא בתקופות הקדומות. כך למשל, קרא אפלטון, לפני יותר מ2000־ שנים, לשמור על היערות שבהרי יוון. אולם רק במאה ה19־ התרחשו התהליכים המשמעותיים הראשונים לשמירת שטחים מסוג זה, תהליכים אשר באו לידי ביטוי בחקיקה, ובסופו של דבר הביאו להכרזת הגן הלאומי הראשון בסוף המאה ה19-. מארה״ב עבר הרעיון למדינות נוספות כמו בריטניה ואוסטרליה. במחצית המאה היו לרוב המדינות מנגנוני שימור של שטחים טבעיים. לאחר מלחמת העולם השנייה הואץ התהליך, עם התפתחותם של גופי שמירת טבע בינלאומיים. בשנות השישים של המאה העשרים היו בעולם למעלה מ1000־ שמורות טבע ומספר דומה של גנים לאומיים ב95־ מדינות (1998 ,Lowry).
מגוון המונחים המתייחס לשטחים מוגנים (כפי שתואר בדיון בראשית הדו״ח), הוא בעייתי לגבי סוגי השטחים המוגנים בהם ידון פרק זה. כותרת הפרק, כמו גם המינוח בהמשך, יתייחסו, כמקובל ברוב המדינות (וגם בישראל) - לשמורות טבע וגנים לאומיים, אם כי הכוונה היא בעיקר לשטחים בעלי ערכי סביבה ומורשת גבוהים, ושאינם מנוהלים כשטחי יער או חופי ים.
בפרק זה ארבעה חלקים:
1.	הכלים העיקריים להגדרת שמורות טבע וגנים לאומיים.
2.	המדיניות הבין־לאומית בהגנה על שמורות טבע וגנים.
3.	המאמצים לשימור שמורות טבע וגנים לאומיים במספר מדינות מערביות.
4.	השיטה החדשנית של שמורות ביוספריות.
כלים לשמירת שמורות טבע וגנים לאומיים
לאור ההיסטוריה הארוכה של שמורות טבע ופארקים, לעומת סוגים אחרים של שמירת שטחים פתוחים, הרי גם מרבית הכלים לשמירתם הם החלוצים בשטח, וחלקם הגדול כבר נסקר בפרק 4 בו
</t>
  </si>
  <si>
    <t xml:space="preserve">שבדקו בקרב קברניטי אוניברסיטאות בריטיות את תפיסתם באשר לתפקיד שיש למוסד אותו הם מייצגים בפיתוח אזורי ומקומי. הם מצאו כי חשיבותו של האזור בעיני האוניברסיטה הלכה והתעצמה עם הזמן, כאשר 43 אחוזים טענו שהאזור חשוב להם, לעומת 25 אחוזים ב־1997. לעומת זאת, חשיבותה של העיר או העיירה בה שכנה האוניברסיטה פחתה מ-16 אחוזים ב-1997 ל-9 אחוזים ב־2001. כמו כן, אחוז האוניברסיטאות שטענו כי המקום או האזור כלל לא חשובים להן ירד מ-8.5 אחוזים ל-4.3 אחוזים.
פעילות סטודנטיאלית היא סממן מובהק לחיותה של עיר, ומהווה פעמים רבות את יריית הפתיחה לתהליכי גינטריפיקאציה עירוניים (1991 ,Bowler and McBurney). הגירתם של הסטודנטים לעיר יכולה להיות סמן עבור שכבות אוכלוסייה נוספות להגירתם חזרה לעיר. עבור אסטרטגים עירוניים, מתכנני ערים וקברניטים פוליטיים,סטודנטים ידועים כמי שמושכים פעילות ספורט ענפה, שמביאה עמה ביקורי משפחות, אוהדים ומבקרים שונים, הממריצה את כוח הקניה ומעצימה את מחזור העסקים במקום (Florida, 2005,p. 143-154). סטודנטים עשויים להעלות משמעותית את כוח הקניה המקומי כפי שעלה ממחקרו של 2006) Allinson) בברמינגהם שבאנגליה. אזורים סטודנטיאליים מרכזים באופן טבעי אוכלוסייה בעלת טעמים וצרכים דומים, שלה כוח קניה רב. לרוב תנועתה מוגבלת וזמנה החופשי רב, ולכן היא נוטה שלא לבקר במרכזי קניות או שירותים מרוחקים, כך שכוח הקניה המקומי נשמר במקום ואף עשוי להשתדרג.
למרות שישנם מעט מאוד עדויות על פעילות ותרומת סטודנטים לחיים התרבותיים שמחוץ לקמפוס, ארגוני הסטודנטים בעיר נוטים להיות מעורבים בפעילות תרבותיות שונות, כמו ארגון הופעות חיות, מועדוני לילה ופאבים (2000 ,1999 ,Chatteron). כך למשל בבריטון, אנגליה, סטודנטים העדיפו להתערות בקהילה המקומית, בעידוד רשויות האוניברסיטה (;2005 ,Smith 2006 ,Hart and Wolff). באוניברסיטת Selly Oak בברמינגהם, ובשתי האוניברסיטאות בניוקסל נמצא שסטודנטים מעורבים בחיי הקהילה ונוטים להתנדב לפעילות חברתית שונה, כמו טיפול בקשישים, ארגון ימי כיף לילדים עם מוגבלויות ומבצעי ניקוי סביבתיים. האוניברסיטאות עצמן, מתוך רצונן להראות כי אינן "תקועות" במגדל השן מארגנות ומממנות חלק מפעילות זו (Allinson, 2006; Chatteron, 2000).
בכלל, בבריטניה ישנה נטייה לראות בציבור הסטודנטים גורם בעל השפעה עירונית חיובית, המעודד את חיותם של אזורים ישנים, מוסיף לגיוון התרבותי וממריץ את שיקומם של היצעי דיור דועכים (Smith, 2005; Chatteron, 2000). 
אוניברסיטאות מעוניינות לעיתים בהתערות קהילתית על מנת לשפר את דימוין בעיני הקהילה המקומית, ולהעצים את חוסנן הכלכלי באמצעות העמקת הקשר העסקי עם בעלי עניין מקומיים. באירופה, פעילותה של האוניברסיטה לצד הפעילות הסטודנטיאלית היוותה פעמים רבות גשר למגע בין קהילות שונות בעיר, שאלמלא כן כלל לא היה קיים (Macintayre, 2003; Bromley, 2006 ,2006; Hart and Wolff). במובן זה, בניית מעונות בתוך המרקם העירוני הבנוי עשויה להקטין את בידודן של קבוצות חברתיות שונות בעיר, ולעודד שיקום ורהביליטציה בשכונות דועכות (2003 ,Macintyre). הבעיה במדיניות אקדמית המנסה להתערות בקהילה המקומית היא
23
</t>
  </si>
  <si>
    <t xml:space="preserve">כעשור לאחר מכן הפך בית המשפט העליון את ההלכה שנקבעה בפרשת טור, וזאת בהכרעה שניתנה בהרכב של חמישה שופטים, פה אחד, בפרשת איראני נ׳ שר הפנים18 (להלן: "פרשת איראני"). בית המשפט העליון קבע כי בהערכת השווי של הקרקע לאחר החלוקה החדשה יש להתחשב גם בהשבחה שנוצרה כתוצאה משינוי יעוד שנעשה באותה מסגרת תכנונית. נימוקיו המרכזיים של בית המשפט העליון התמקדו בקשר שבין שינוי הייעוד לבין החלוקה החדשה, בנסיבות המקרה, ובעובדה כי מדובר במהלך אחד שאיננו ניתן להפרדה מבחינה תכנונית. בנוסף, קיבל בית המשפט העליון את טענת השמאים כי ההפרדה בין השפעותיהם המצטברות של שינוי הייעוד ושל החלוקה החדשה על שווי המקרקעין היא בלתי אפשרית, ולפיכך ההלכה שנקבעה בפרשת טור אינה ישימה.
להלכה זו משמעות כלכלית מעשית על בעלי הקרקע המשתתפים בתוכנית חלקוה חדשה. לדוגמה, נניח מקרה בו השווי הכולל של המקרקעין המשתתפים בתוכנית חלוקה חדשה מושבח בעקבות התכנית משווי של 100,000 דולר לשווי של 200,000 דולר ונניח ששווי מגרשו של כל אחד משני בעלי הקרקע בתחום התכנית היה לפני התוכנית 50,000 דולר. אם במסגרת החלוקה החדשה יוקצה לאחד מבעלי הקרקע מגרש חדש ששוויו 50,000 דולר בלבד (דהיינו, לא הושבח כלל) ולבעל הקרקע השני מגרש חדש ששוויו 150,000 (דהינו, הושבח פי 3), יהיה בעל הקרקע הראשון זכאי לתשלומי איזון בסך של 50,000 ₪ ואילו בעל הקרקע השני יחוייב בתשלומי איזון בסך של 50,000 ש״ח. המשמעות היא שבעל הקרקע הראשון ייהנה ממחצית ההשבחה למרות שיתכן שמיקום ההשבחה הוא אך ורק במגרש השני. לעומת זאת, לפי ההלכה הקודמת שנפסקה בפרשת טור רק בעל הקרקע השני היה נהנה מההשבחה לבדו.
ההלכה שנקבעה בפרשת איראני משקפת גם, במידה רבה, שינוי בתפיסה הערכית של המשמעות שיש לייחס לזכות הקניין של הפרט במקרקעין, וכן לשיקולים הערכיים של אופן חלוקת ההטבות הכלכליות הנובעות מהשבחת מקרקעין מחד, והנטל המוטל על בעלי קרקע לצורך קידום אינטרסים ציבוריים, מאידך . העיקרון שנקבע בפרשת טור נובע מתפיסה קניינית צרה, אשר נקודת המוצא שלה היא, שהשבחה או ירידת ערך שנגרמת במקרקעין מסויימים "שייכים" לבעל אותם המקרקעין בלבד. אם במסגרת התוכנית נקבע שדווקא במקרקעין מסוימים מוצדק, מסיבות תכנוניות, לשנות יעוד או להעניק זכויות בנייה באופן שישביח בצורה משמעותית את המקרקעין, בעל המקרקעין האלה הוא זה שצריך ליהנות מההשבחה לבדו (ולשאת בהיטל ההשבחה הכרוך בהשבחה זו). אם במסגרת התוכנית נקבע שדווקא במקרקעין מסוימים יש צורך לסלול כביש, או למנוע פיתוח לגובה, בעל המקרקעין האלה הוא זה שישא לבדו בנזק הכרוך בקידום האינטרס הציבורי ויהיה זכאי לפיצוי בגין כך (אם קיימת זכאות שכזו). לעומת זאת, גישת בית המשפט העליון בפרשת איראני מובילה במידה רבה לחלוקה צודקת יותר, הן של ההשבחה והן של נטל הצרכים הציבוריים הנוצרים במסגרת תוכנית חלוקה חדשה. בידי כל בעל קרקע יישארו, לאחר אישור תוכנית החלוקה החדשה, זכויות (כולל תשלומי איזון, ככל שהם קיימים) שייחס שוויין לשווי הכולל של המקרקעין בתחום התוכנית יהיה זהה לייחס שהיה קיים לפני אישור החלוקה החדשה. לדוגמה, העובדה כי מוסד התכנון החליט לתכנן בחלקו הצפוני של איזור תכנון מסויים בנייה רוויה ובחלקו הדרומי של אותו איזור תכנון בתים צמודי קרקע, שטחים פתוחים ומוסדות ציבור, אין משמעותה כי רק מי שהוא במקרה בעל קרקע בחלק הצפוני של איזור התכנון יזכה בהשבחה משמעותית של מקרקעיו ־ השבחה שלא היה לה קיום ללא השימושים הציבוריים המתוכננים בחלקו הדרומי של איזור התכנון. בעקבות ההלכה שנקבע בפרשת איראני, בקביעת חלוקת המגרשים ותשלומי האיזון יהיה על מוסדות
</t>
  </si>
  <si>
    <t>פרט לבעית הקרינה, 1990) Arman and Seals) מציינים שני חסרונות עיקריים בהקשר של שימוש חקלאי בפוספוגבס בארה״ב:
ו. עלות הסעת גבס (בארה״ב) נהיית בלתי כדאית למרחקים גדולים מ־ 50 מייל. מוצרים אחרים לטיוב קרקע הנמצאים בשוק מתחרים בגבס בקלות במרבית השווקים החקלאיים.
2.	הכמות הכוללת הנדרשת לחקלאות קטנה יחסית לכמות פוספוגבס הנוצרת שנתית (כ־ 45 מיליון טון בארה״ב).
להלן נציג את השימושים העיקריים בפוספוגבס בחקלאות, בהתבסס בעיקר על הסקירה של
1993)	Alcordo and Rechcigl). מכיוון שפוספוגבס איננו שונה מבחינה כימית מגבס טבעי, חלק מהמחקר מתייחס גם לשימושים של גבס טבעי.
3.2.2	מקור ל- גופרית (S) ולסידן (Ca) ליבול
גופרית היא אחד המרכיבים החיוניים לתזונת הצמחים. באופן כללי צמחים מכילים כמויות גופרית של 0.2% עד 0.5% (בדומה לזרחן). במהלך שלושים השנה האחרונות דווח על חסר בגופרית בצמחים בתדירות גוברת והולכת בכל רחבי העולם. לתופעה זו סיבות רבות, אולם הסיבה העיקרית נובעת ממעבר למדשנים בריכוז גבוה (high-analysis fertilizers) ללא גופרית (1986 ,Morris).
סידן בריכוז של 0.2% עד 1.0% ברקמות הצמח, הוא גם כן חיוני לחיי הצמח. ניתן לספק את הצורך של הצמחים בסידן באמצעות חומרים בעלי תכולת סיד גבוהה, כגון אבן גיר. אולם, שימוש בסיד בריכוז גבוה עלול להעלות את ה־ pH של הקרקע ל־ 7 ולהקטין כתוצאה מכך את יעילות החילחול של המים
לצמחים. תנאים אלו גורמים להקטנת P, B, Mn, Zn וכן את זמינות היסודות האחרים ,(infiltration)
יבולים כגון תירס, סויה, ועוד (1971 ,Kamprath). לכן, באדמות מסוימות הדורשות כמויות גדולות של סידן בכדי להגדיל תפוקת יבולים, וכן בגידולים כגון בוטנים הדורשים כמויות גדולות של סידן מסיס, יש לעתים למצוא מקור אחר לסידן מאשר גיר.
פוספוגבס עשוי לשמש כמקור טוב לשני היסודות גם יחד, לגופרית ולסידן, בחקלאות.
1987) Amacher and Miller), ו־ 1989) Shainberg et al) סקרו מספר עבודות אשר בחנו את נושא השימוש בפוספוגבס, וכן בגבס טבעי, אשר איננו שונה מבחינה כימית מפוספוגבס. העובדה שלא פורסמו עבודות רבות נובעת במידת מה מכך שקיימים מקורות נוספים לגופרית ולסידן (כמו אשלגן גופרתי ואבן גיר), וכן ההגבלה כיום על השימוש בפוספוגבס בארה״ב אפילו לצרכי מחקר, כתוצאה</t>
  </si>
  <si>
    <t xml:space="preserve">במסגרות מרותכות בריתוך אוטומטי בהשקה והבזקה - הרי במקרהזה, ורק בו,ניתן לאלגן את הפריט רק לאחר חיתוך הפרופילים למידותיהם וחיבורם למסגרות מרותכות). מסיבה זו מבוצעים כל החיתוכים, הקידוחים, והעיבודים המכניים האחרים לאחר אילגון הפרופילים עצמם. ברור כ־יכל מקומות העיבודים הללו נשארים בלתי-מאולגנים, והדבר מצא אישורו בעת הסקר ( כדאי להוסיף כי בדרך כלל גם במסגרות המיועדות לריתוך אין מבצעים לרוב את פעולות הקידוח למיניהן אלא לאחר האילגון, אם בי במקרה זה בוודאי שאין כל קושי לבצען לפני כן). במקרים רבים מהנבדקים נמצא כי בסדקים שנשארו לאחר חיבורים מכניים שונים בהם החיתוכים לא היו מאולגנים - נוצרה קורוזית סדקים, ובמקרים בהם נשארו חיתוכים כאלה חשופים לאטמוספירה החיצונית - נתקפו שטחיהם קורוזית גימום. במקרים אחרים בהם נעשו קידוחים, לאחר האילגון, לצורך חורי מעבר עבור ברגים שלא היו עשויים אלומיניום - נמצא בעת הבדיקה כי בקדח הבלתי -מאולגן הופיעה קורוזיה גלוונית שמקורה, בין השאר, גם בהיעדר שכבת התחמוצת על פני האלומיניום שבקדח.
1.1.4.	פגיעות מכניות
ביחידות אלומיניום שפרופיליהן נפגעו פגיעות מכניות עקב איחסון או הובלה . לקויים,או כתוצאה מאחזקה לקוייה בבנין - הרי במקרים בהם נפגעה ונפרצה שכבת האילגון, למרות עומקה, קושייה ואיטומה, נרשמו תופעות של קורוזיה מואצת בהשוואה ליתר האלמנטים באותה סביבה. יחסית לא נמצאו מקרים רבים מסוג זה.
1.1.5.	מיפגש האלומיניום עם תמרים אחרים
הסקר העלה בי בכל המקרים ללא יוצא מהכלל,אם כי בדרגות שונות של חריפות - היו מפגשי האלומיניום עם חמרים אחרים, בעיקר מתכתיים, נקודות התורפה מבחינה קורוזיבית, ועקב כך גם מבחינה קונסטרוקטיבית. בכל המיפגשים של 1 מתכות ברזליות, נחושת או פליז, או מתכות אחרות בעלות פוטנציאל שונה במידה ניכרת מזו של האלומיניום,במישרין עם האלומיניום,התפתחה בהכרח קורוזיה גלונית, שבתנאי רטיבות ומליחות אף הואצה.
1.5.1.	1. מאחזים, חיזוקים, פירזול
בכל המקרים בהם היו מאחזים, חיזוקים, אביזרי חיבור, פירזול וכיוצא באלו עשויים ממתכות כנ"ל, ללא הגנה וחציצה אנטי-קורוזיבית עצמית והדדית מתאימות התפתחו תהליכים של קורוזיה גלוונית במקומות המפגש של המתכת האחרת עם
</t>
  </si>
  <si>
    <t xml:space="preserve">3״22 תאור סטטיסטי של נתוני רוח
שיטות עיבוד נתוני רוח מתקדמות יותר מתארות את התפלגות עוצמת הרוח הממוצעת על ידי פונקציות פילוג שונות־ אולם איו הצדקה להשתמש בהן בשלבים המוקדמים של התכנון«
2,4 2 מפת מהירות הרוח הממוצעת השנתית בארץ
בציור 2.5 מיוצגת מפת הארץ בה שורטטו קווים שווי רוח ו Isovents) המחברים מקומות בהם נרשמה מהירות רוח ממוצעת שווה (השרות המטאורולוגי, 1980)־הערכים המופיעים במפה הם ממוצעים רב שנתיים המתייחסים לרום אפקטיבי של 10 מ' מעל פני הקרקע ואיך הם מתאימים לתאור הרוח במקרים עם טופוגרפיה או חיספוס-שטח מיוחדים.
בעזרת המפה ניתן לאמוד באופו מקורב את מהירות הרוח הממוצעת בכל איזור ואף לחלק את הארץ לאיזורי רוח טיפוסיים כדלהלן:
לאורך שפלת החוף הים תיכוני מהירות הרוח הממוצעת נעה בין 4 ל-5 מטר לשניה. ערך זה יורד ל-3 מטר לשניה בשפלה הפנימית ועולה עד ל-6 ואף 7 מטר לשניה בהרי יהודה.
גם באיזור ההר שבגליל מצויה רוח ממוצעת של 6 ו-7 מטר לשניה. הערכים הגבוהים ביותרג8 ו-9 מטר לשניה) הם ברמת הגולן.
בבקעת הירדן ובערבה מהירות הרוח הממוצעת במורד המזרחי של ההר היא בסביבות 5 מטר לשניה והיא יורדת עד ל-4 מטר לשניה בבקעה עצמה.
בנגב ובצפון סיני מהירות הרוח הממוצעת נעה בין 4 ל-5 מטר לשניה ועולה עד ל-7 מטר לשניה בהרים שבדרום סיני"
כמובן שחלוקה שכזאת נותנת תמונה מקורבת בלבד על מהירות הרוח הממוצעת המצוייה באיזורים שונים של הארץ והיא מתעלמת מהשפעות טופגרפיות מק ומי ות ומשינויים פיזיים מקומיים בצורת השטח (כגון בנייה בצפיפות בינונית וגבוהה במרכזים העירוניים)־ יחד עם זאת היא מאפשרת, בעיקר בשלבים הראשונים של התכנון,להעריך את בעיות הרוח הצפןיות באיזורים מסויימים.
</t>
  </si>
  <si>
    <t xml:space="preserve">2.1.2.9	דוגמאות אחרות של שיטות לבידוד תרמי מהצד הפנימי של תיקרת הגג.
דוגמה מטי 9.1: שכבת בידוד תרמי מכוסה ברשת עם טיח (רביץ)
השיטה מבוצעת בשני שלבים:
‏א.	מצמידים את לוחות הבידוד התרמי לתיקרה.
‏ב.	מצמידים יריעת מחסום אדים (למשל פוליאתילן בעובי 0.2 מ״מ) לבידוד התרמי.
‏ג.	מותחים רשת אקפנדד עם מרווחים מתחת לשכבת הבידוד התרמי.
אפשר לבצע פתרון זה בעזרת מרישי עץ מוצמדים לתיקרה ביניהם מוצמד הבידוד התרמי לתיקרה עם שכבת מחסום האדים. מתחתם מצמידים את הרשת עם מרווחים כדי להפריד הרשת מהבירור התרמי.
‏ד.	מטייחים עם טיח בלי סיד.
דוגמה מסי 9.2: שכבת בידוד תמרי מכוסה ב-IS0TEX
החומר הנ"ל הוא כריך מפוליסטירן מוקצף בעובי 0.5 ם״מ בין שתי שכבות סיבי עץ.
במידה ונחוצה (לפי האזור) תוספת בידוד תרמי, אפשר להצמיד פוליסטירן מוקצף בעובי מתאים ללוחות ISOTEX עם שכבת מחסום ארים ביניהם. ניתן להצמיד את כל המערכת בעזרת ברגים ודיבלים אל התיקרה.
במקרה זה מומלץ להחליק את פני התיקרה שמתקבלת עם סיבי העץ עם מרק מתאים ולצבוע מתחת למרק.
</t>
  </si>
  <si>
    <t xml:space="preserve">הסופי, לא התקבל הבדל משמעותו, כאשר תנאי ההתחלה נקבעו בצורה רנדרמית או בצורה הטובה ביותר על ידי הארכיטקם. מבי ו ך לנתן להכניס כנתון ראשי ני ארגון שבקבע ע" י הארכיטקט - הרי שקיימת אפשרות בעזרת המודל הנ״ל להשוות בין אלטרבטיבות שובות ולקבוע את ערך הפתרון בכל אלטרנטיבה. (בשלב הנ״ל קיים רק במודל הנקודתי, עבור המודל בשטחים יורחב בעתיד). שלבי חיפוש הפתרון האופטימלי: .
‏א.	בתחילה בקבע הפתרון האופטימלי הנקודתי בשימה של החלפה בדידה־ (שלב זה ייקרא: המודל ה ב ק ו ד ת י).
‏ב.	הפתרון האופטימלי הבקודתי מתורגם לפתרון בשטחים בצורה הבאה; בתוך גריד בעל מידות הצלע הגדולה ביותר של החדרים, ממוקמות כל הפעילויות יבסדר שהתקבל בפתרון הנקודתי. כל פעילות מקבלת את שטחה כשם שבקבע מראש ו עם פרופורציות מלבניות קבועות. מרכז שטח כל פעילות נופיו על מרכז כל גריד. (שלב זה ייקרא: נפוח הפתרון הנקודתי לשטחים).
‏ג.	מכיון וחלק מהחדרים גדולים וחלק קטבים מתקבל שע״י נפוח הפתרון הבקודתי לשטחים, בוצרים הרבה שטחים ריקים בין הפעילויות השוברת. בשלב זה תתחיל פעולת כווץ השטחים הריקים שבין הפעילויות, תוך כדי 0	.
בסיובות החלפה בוספים, וסבוב שטחי הפעילויות ב -	180. (שלב זה
ייקרא: כווץ המודל).
פעולת כווץ המודל מורכבת. בכל איטרציה נעשה נסירי להזיז את בל הפעילויות בצעד אחד. סדר הזזת הפעילויות נקבע באופן ר ב דו מי. לאחר שהוגרלה פעילות להזזה נקבע כוון הזזת הפעילות בצורה רנדרםית גם כן. בצוע הכווץ בעשה בתנאי שסה״ב הסירקולציה קטן. במקרה והכוון שהוגרל איבר מקטין את הסירקרלציה בבבין מרגרל בררן אחר. באס הזזת הפעילות בכל אחד מארבע הכררנים אינה מקטינה את סה״כ הסירקרלציה אין מזיזים את הפעילרת הנ״ל. ממשיכים בארתה צררה להזיז את הפעילות הבאה שהרגרלה, כך נעשה התהליך עד שכל הפעילרירת הרגרלו פעם אחת בלבד;
לאחר פערלת ההזזה, נעשית סדרה חדשה של בסירבות החלפה בין פעילרירת, כמר שנעשה במרדל הבקרדתי. רק החלפה שמשפרת נשמרת רהחלפה שאינה משפרת מתבטלת. בסדרת ההחלפות מספר רצוני רקברע של החלפות ונקבע
</t>
  </si>
  <si>
    <t xml:space="preserve">דפוס ישן_דיו חסר, אותיות דומות מחלפות כמו א' ו' או ד' ר' </t>
  </si>
  <si>
    <t>אותיות דומות_נ' ו'</t>
  </si>
  <si>
    <t xml:space="preserve">בממוצע הארצי התקבל כי שיעור הגידול בשטח קטן במקצת משיעור הגידול המקביל באוכלוסייה. תוצאה זו נובעת מההטייה הנגרמת על ידי היישובים הכפריים היהודיים (קטנים מ-2,000 נפש). האוכלוסייה של יישובים אלה צפוייה לגדול רק פי 1.2, ואף שטחם יקטן במקצת, הן משום שחלק מהיישובים הכפריים יהיו ליישובים עירוניים הן בעקבות הפוטנציאל הגדול הקיים במרקם הבנוי שלהם העשוי לקלנט את מרבית תוספת האוכלוסייה בתקופה זו.
אחד הממצאים הבולטים בהקשר זה קשור להשפעת קבוצה זו על הממוצע הכולל שהיא גדולה מאוד. הנתונים מצביעים על כך שסה״כ השטחים ברוטו של היישובים הכפריים היהודיים1 גדולים במידה רבה ומשקפים את צפיפות האוכלוסייה הנמוכה המאפיינת אותם (בממוצע כ־600 נפש לקמ״ר). בשנת 1990 היה השטח ברוטו של דגם יישובים זה (דגם 7) 42% מסה״כ שטחי קרקע ברוטו של כלל היישובים במדינה2, בעוד אוכלוסייתן הייתה רק 7.2% מכלל האוכלוסייה. מאחר שלא נדרשת תוספת של שטחי קרקע לדגם זה של יישובים, הרי משקלה הגדול מטה את הממוצע הכולל כלפי מטה באופן ניכר. התחשיב ללא דגם זה של יישובים מראה כי השטח התפוס ביישובים צפוי לגדול פי 2.02 בתקופת התכנון, בעוד האוכלוסייה תגדל רק פי 1.74.
הדגמה של מצב זה מוצגת באיור 2.4. באיור ניתן לזהות את חלקו היחסי של כל אחד מדגמי היישובים באוכלוסייה ובשטח היישובים. הנתונים מדגישים את חלקם הגדול יחסי של דגמי היישובים הגדולים במרחב המטרופוליני (דגם 3-1) בשיעור האוכלוסייה המתגוררת בהם לעומת חלקם הנמוך יחסית בשטח היישובי התפוס על ידם. לעומת זאת, מצב הפוך מאפיין את היישובים הבינוניים והקטנים הממוקמים בשולי המטרופולינים ובפריפרייה (דגם 6-4) ובמיוחד את היישובים הכפריים היהודים (דגם 7). איפיון זה ראוי למחשבה ולבחינה של מדיניות אשר תסייע בהשגתו של איזון רב יותר על ידי נקיטת צעדים לעיבוי אוכלוסייה בעיקר בדגמים של יישובים שבהם שיעור האוכלוסייה גבוה לעומת שיעור השטח התפוס תוך ציפוף המגורים בהם.
</t>
  </si>
  <si>
    <t xml:space="preserve">מבוא
האורבניזציה המהירה, שהלה מאז קום המדינה, העלתה במלוא חריפותה את בעיית השטחים לצרכי הציבור בעיר ובשכונות. מיגבלות החוקתיות ומיגבלוח הנובעות מבעלות על הקרקע וכן המחירים הגבוהים של הקרקע הגבילו מאד את האפשרות לספק שטחים לבנינים ציבוריים ולשטחים פתוחים בערים ותיקות. אף בערים ובשכונות חדשות, שבפיתוחן הוחל לאחר קום המדינה, לא נמצא פתרון משביע רצון לבעייה זאת. בערים החדשות, בהן בעלות על הקרקע ומחיריה לא היוו מניעה לפתרון נאות קודם לכן, כיום גם בהן קיים קושי באספקת שטחים לצרכי ציבור. אין ספק שאילו היו קיימים תקנים מוסמכים לגבי הצרכים לשטחי ציבור, היו מונעים ליקויים רבים בתיכנון העיר ובשדותיה, והיו אף מסייעים לקידום צביונה החברתי של האוכלוסיה העירונית.
בשנת 1961 התארגנה ועדה המורכבת מה״ה: א. ברוצקום, הממונה על התיכנון הארצי באגף התיכנון, ח. אריון, מרכז הפרוגרמות באגף התיכנון, ש. יבין, המזכיר המדעי של המכון לחקר הבנייה והטכניקה, א. ברלר, סוציולוג ראשי של משרד השיכון ומ. שגיב, הממונה על מוסדות ציבור במשרד השיכון. הועדה שמה לה למטרה להציע מיכסות לבנינים ולשטחים ציבוריים על־מנת לסייע בידי אנשי מינהל ומתכננים בגיבוש תכנית כוללת של השרותים הציבוריים בעיר ובשכונה, בהתאם לצרכי החברה המתפתחת.
הנתונים הדימוגרפיים, החברתיים והכלכליים*) ששימשו לקביעת המיכסות הנם ממוצעים ארציים ולכן יש לראות עבודה זו בהכוונה כללית בלבד. בכל מקרה של קביעת מיכסות לעיר או לשכתה מסויימת, יש לברר תחילה את התנאים המקומיים ובהתאם לכך לקבוע את הצרכים לבנינים ולשטחים ציבוריים.
בתיכנון המפורט יגיע לרוב המתכנן לשילוב פונקציונלי של שרותים שונים, אשר יתכן ויביאו לסטיה מהמיכסות המובאות בחוברת זו. למשל, במרכז אזרחי ומסחרי ישולבו פונקציות שונות ויאפשרו ריכוז שטחים ושינוי המיכסות לגבי מוסדות מסויימים, אך בדרך־כלל נראה שמיכלול השטח המוצע מתאים לדרישות.
בשלב הראשון של עבודתה, קיימה הועדה פגישות עם נציגי משרדי הממשלה ומוסדות ציבור במטרה לברר את הצרכים לגבי כל אחד מהבנינים והשירותים הציבוריים רשימת הנציגים מופיעה להלן.
בשלב השני נערכו דיונים בועדה ונקבעו מיכסות לבנינים ולשטחים כמובא בגוף הדו״ח. הדו״ח מתחלק ל־7 פרקים, לפי סוגי הבנינים, כדלהלן:
</t>
  </si>
  <si>
    <t xml:space="preserve">אותיות דומות_ ח' ת', ם' ס' </t>
  </si>
  <si>
    <t xml:space="preserve">אותיות מרוחות ישנות, אותיות דומות_ ב' כ', ח' ת', ס' ם'_ הסימן (") י' </t>
  </si>
  <si>
    <t xml:space="preserve">התפתחות מחירי הקרקע בירושלים בשנים 1971 - 1973
הפירסום המובא בזה סוקר את התפתחות מחירי הקרקע בירושלים על רובעיה השונים בתקופת השנים 1973-1971. זהו סקר ראשון בסידרת פירסומים בנושא מחירי הקרקע בעריה של ישראל, היוצאת לאור מטעם המחלקה למחקר כלכלי-חברתי של משרד השיכון, במקביל לסידרת הפירסומים על התפתחות מחירי הדירות אשר החלה להופיע לפני מספר שנים.
כמקור לנתונים המובאים בסקר שלפנינו שימשה האינפורמציה שרוכזו! ע״י הלקכה המרכזית לסטטיסטיקה מתוך רישומי אגף מם רכוש וקרן פיצויים. הנתונים מתייחסים לכלל החלקות של קרקע פרטית אשר מכירתן בוצעה ונרשמה בשנים 1973-1971 והמיועדות למגורים. קרקע המיועדת לשמושים	^כואד מסחרילס^ועסקיים לא נכללה בסקר. עם זאת יש לציין
כי באי-אלה מקרים הוכללה קרקע לשמושים מעורבים; דהיינו, מגורים יחד עם מסחר ועסקים או מלאכה.
שטח הקרקע והשטח הבנוי
יצויין כי הנתונים המופיעים בסקר לגבי המחירים ליחידת שטח, מתייחסים לשתי הקטיגריות הבאות של שטחים;
‏א)	שטח הקרקע הפיזי בחלקות אשר נמכרו בשנים הנסקרות;
‏ב)	השטח הבנוי; כלומר, שטח המבנים אשר ניתן להקימן בחלקות אלו לפי תקנות בנין ערים.
השטח הבנוי בחלקה נתונה חושב ע״י הכפלת אחוזי הבניה המותרים לפי תקנות בנין ערים בשטח החלקה. ואילו אחוזי הבניה נתקבלו ע״י הכפלת האחוז משטח הקרקע שעליו מותר לבנות בכל קומה במספר הקומות. ולדוגמה;.אם מותר בבל קדמה לבנות על 30% משטח החלקה, בעוד שמספר הקומות שניחן לבנותן הוא 4, הרי אחוזי הבניה מגיעים ל 120%. ואם שטח החלקה הוא מחצית הדונם (דהיינו, 500 ממי'ר), הרי השטח הבנוי הוא 600 ממי'ר (600= 120% ־500).
בהתאם להבחנה שלעיל בין ׳שטת קרקע ושטח בנוי, הבחננו גם בין מחיר ליחידת קרקע ומחיר ליחידת שטח בנוי. ולדוגמה, אם מחירה של החלקה שלעיל הוא 120,000 ל״י, הרי המחיר ל- 1 ממ"ר קרקע מגיע בה ל-240 ל"י	. ואילו המחיר ל- 1 ממ״ר
של שטח בנוי הוא 200 ל"י	.
</t>
  </si>
  <si>
    <t xml:space="preserve">(מ). מחירי מדירות
בתת-פרק זח, ידונו מממצאים שהועלו לגבי מחירי מדירות שרכשו מזוגות מצעירים בשכונות המועדפות שביישובים משונים, וזאת במשוואת לכלל מזוגות מצעירים בארץ. מנתונים על מחירי מדירות מקורם בקובץ מנתונים של משרד משיכת.
מדיון במחירי מדירות שנרכשו, בא לענות על מספר שאלות שעלו תוך כדי ממחקר:
-	מת מיו מחירי מדירות שרכשו מזוגות מצעירים בשכונות ממועדפות?
-	מאם מיו אלו זולות יחסית לדירות שרכשו םמ״כ מזוגות מצעירים בארץ?
-	תאם תיוות תמחיר תזול של חדירת גורם משיכת לקניית מדירת בנוסף למשכנתא תמוגדלת?
טבלת מסז 18 מציגת את תחציונים של מחירי תדירות שנרכשו ע״י זכאי משרד תבינוי ותשיכון, בחלוקת לדירות יד שנית ודירות חדשות.
* כמצופת, מחיר דירות חדשות גבות ממחיר דירות יד שנית.
* בשנתיים תראשונות, מ-1978-1976, תיו מחירי תדירות שרכשו שתי תקבוצות: "תמתאכלסים בשכונות" ו"תנתנים מתכנית תסיוע", נמוכים יותר ממחירי תדירות שנרכשו ע”י”סת״כ הזוגות תצעירים בארץ". בשנת השלישית - 1979, מסתמנת מגמת הפוכה: תדירות החדשות ודירות מיד שנית בשכונות המחקר, תיו יקרות יותר מדירות "סה״כ הזוגות הצעירים".
* בפירוט לפי מקומות יישוב, ניכרות מגמות הפוכות: פער גדול בין מחירי דירות מיד שנית לדירות מבנית חדשה. למשל, ברמלה - 15,000 שקל, מחיר דירת מיד שנית, לעומת 38,000 שקל מחיר דירת חדשת. ולעומת זאת, בפתח-תקוות המגמה הפוכה: מחירי דירת חדשת נמוכים בהרבה - 27,000 שקל ממחירי דירות יד שנית - 42,000 שקל.
</t>
  </si>
  <si>
    <t>מתחלפות_ה' מ', ה' ת'</t>
  </si>
  <si>
    <t xml:space="preserve">החולייה החלשה - נספחי בינוי וחוק התכנון והבנייה
בנתניה קיים "פורום תכנון", שהוא פורום תיאום מקצועי חוץ־סטטוטורי, מימסדי ולא ציבורי. הפורום מבקר פרוייקטים בעלי משמעות סביבתית או בעלי היקף נרחב, העומדים להיות מוגשים כתוכנית או כבקשה להיתר בנייה. בפורום משתתפים אנשי מקצוע מאגף ההנדסה, הלשכה המשפטית, אגף נכסי העירייה, נציגי הוועדה המחוזית וראש העיר. זהו פורום לביקורת פרוייקטים, שהחלטותיו נותנת אור ירוק לקידומם. שותפים להחלטה כל המשתתפים בפורום - כאשר זכות ההכרעה היא של מהנדס העיר. קודם לקיום הפורום מתקיים, בדרך כלל, משא ומתן בלתי פורמלי עם המתכננים והיזמים אצל ראש העיר ומהנדס העיר. בדרך כלל, מוצגים תשריטים ומודלים ברמה גרפית גבוהה. הנושאים הנידונים הם בדרך כלל תוספת זכויות בנייה ועיצוב עירוני.
בחיפה הייתה קיימת בעבר ועדה ציבורית, שכללה את בכירי האדריכלים בעיר. הוועדה דנה בפרוייקטים בולטים מבחינה אדריכלית, וחוות דעתה הייתה משפיעה, אם כי רק מייעצת.
הנחיות מינהל התכנון
מינהל התכנון במשרד הפנים אחראי על התכנון הסטטוטורי והוא מנחה את הוועדות המקומיות באופן הגשת תוכניות. במסגרת זו הוצא, בשנת 1992, קובץ "הנחיות לעריכת תוכניות מפורטות ותוכניות שינוי למיתאר". בנושא הוראות עיצוביות, המליצו העורכים להציג את מידת התערבותה של התוכנית המוצעת בעיצובם של המבני□ והשטחים הפתוחים ביניהם. רמות הפירוט בתוכניות הן שונות, ויכולות לכלול הנחיות כגון:
‏א.	חופש פעולה למתכנן בתחום המגרש (יש לציין זאת במפורש).
‏ב.	הגבלה חלקית על ידי קווי בנין, מרחקים בין המבנים, מגבלות גובה ותכסית הקרקע.
‏ג.	הגבלה נוספת, בפרישת□ של המבנים, מיקומם וניפח□ (תוכנית בינוי כללית).
‏ד.	הגבלה נוספת, בצורות המסות של כל מיבנה (מידות גובה, רוחב, אורך חלקי□ פתוחים).
‏ה.	הגבלה נוספת, בצורתן המפורטת של חזיתות הבתים, חומרי גימור, פיתוח החצר וכו׳.
המגמה היא, שלא להשאיר דברים הנוגעים לעיצוב, לפרשנות בשלב הרישוי. במקרים בודדים, רגישים במיוחד, רשויות התכנון ייקחו חלק פעיל בעיצוב הארכיטקטוני בתוכנית, לאחר שיודיעו מראש על כוונה זו. המלצת□ היא שכאשר תחום התוכנית מהווה חלק מאזור שימור, או שהוא בעל ערכי נוף מיוחדי□ או בעל ערך ארכיטקטוני מיוחד, תכלול התוכנית רמת פירוט גבוהה בנושאי העיצוב. המלצה נוספת היא שההוראות העיצוביות יפורטו באופן גרפי ויצורפו כמסמך נוסף להוראות הכתובות של התוכנית, כלומר, כנספח. כמו כן, מומלץ לקבוע בתוכנית את מידת הגמישות המותרת ביחס לשינויי□ בהוראות העיצוב.
מבא״ת
בשנת 2003 הוציא מינהל התכנון במשרד הפני□ מתכונת להכנת תוכניות, הנקראת מבנה אחיד לתוכניות ־ מבא״ת. במתכונת זו קיי□ נספח, המכיל דוגמאות לנוסח אחיד עבור נושאים חוזרים, שהן הצעות ניסוח להוראות המקובלות בתוכניות. בין הוראות אלה נימצא סעיף:
1.8 עיצוב ארכיטקטוני
26
</t>
  </si>
  <si>
    <t>מתחלפות_ ם' □</t>
  </si>
  <si>
    <t xml:space="preserve">הקשר ya הסביבה הממשית לביו הסביבה הנתפסת - תיאוריית תככון
הסביבה הנתפסת (Perceived Environment) מהווה את ההשתקפות של הסביבה במוח של האדם והיא מורכבת ממידע אודות הסביבה (להלן: ׳הכרה סביבתית׳) כמו למשל ׳יש פארק׳, ומהערכה סובייקטיבית של הידע הסביבתי (להלן: ׳הערכה סביבתית׳) כמו למשל ׳הפארק בטוח׳ (בר יוסף, 1984 ; 2008 ,Nasar). רפופורט
מבחין בשלושה שלבים בתהליך שבו סביבה ממשית נתפסת (Rapoport, 1977)
בתודעת האדם ליצירת סביבה נתפסת, כדלקמן: (1) תפיסה סביבתית (Environmental perception) - מקור המידע הראשוני של האדם לגבי הסביבה אשר כולל את החוויה החושית הישירה קליטה, סינון ועיבוד גירויים מהסביבה באמצעות תהליך פיזיולוגי המתרחש במוח, שהתוצר שלו הוא ייצוג סביבתי מנטלי כלשהו המאוחסן בזיכרון; (2) הכרה סביבתית (Environmental cognition) - פירוש הגירויים שנקלטו בתהליך התפיסה הסביבתית, תוך הבנה וארגון של הסביבה באמצעות תהליך פסיכולוגי המתרחש במוח, שהתוצר שלו הוא ייצוג סביבתי מנטלי אינדיבידואלי עם דגש על המשמעות האישית או הקבוצתית המיוחסת לסביבה; (3) הערכה סביבתית (Environmental evaluation) - שיפוט ערכי של הסביכה בהתאם לנורמות, אמונות וידע קודם של הפרט. ההערכה הסביבתית מהווה את החוליה המקשרת בין המימד הקוגניטיבי לבין זה ההתנהגותי, כאשר על סמך הערכה זו האדם מפתח עמדות חיוביות או שליליות כלפי הסביבה ובוחר להתנהג בהתאם.
ככלל, האופן שבו האדם תופס את הסביבה תלוי הן בתנאי המצב ב׳זמן אמת׳ (ההתנסות בסביבה) והן בניסיון העבר של אותו אדם (הכרות עם הסביבה, המטען
תיאוריות מתחום .(Lang, 1987; Rapoport, 2000) (התרבותי של האדם וכיו״ב
התכנון מזהות אלמנטים ספציפיים בסביבה שיכולים לעצב את תפיסתה. הסביבה הבנויה הממשית היא המרכיב הדומיננטי והמרכזי בתיאוריות אלו, והנחת היסוד היא שרב בני האדם תופסים את הסביבה באופן דומה. המטרה המעשית של תיאוריות אלו היא להנחות מתכנני ערים ליצור סביבות שתיתפסנה באופן ברור וחיובי אשר יוביל להתנהגות הרצויה. בהתאם לכך, התוצר המעשי של תיאוריות אלו הוא קווים מנחים לתכנון ועיצוב עירוני.
</t>
  </si>
  <si>
    <t>מתחלפות כ' נ', כ' ב'</t>
  </si>
  <si>
    <t xml:space="preserve">נמצא גם שבמגדלי היוקרה נפוץ יותר מנגנון ליידוע דיירים חדשים לגבי נהלי הבניין. כמו rp נמצא קשר בין קיומו של חוזה והימצאותו של מנגנון כזה. במגדלי היוקרה ככל הנראה לרוב נמצא יידוע הדיירים החדשים באחריות החברה, כאשר במגדלים הרגילים שבהם יש מנגנון כזה, הוא לעיתים מופעל על ידי הועד.
בנושא של חוסר הסכמות ו\או ויכוחים בין דיירים נמצא שהם נפוצים פחות במגדלי היוקרה. קיומו של חוזה אינו מסייע בהפחתת הויכוחים, אבל נמצא שככל שדיירים גרים יותר זמן בבניין כך גדל הסיכוי להחשף ו\או להיות מעורבים בויכוחים. הדבר מחליש את הממצא בדבר רמת חיכוכים נמוכה יותר במגדלי היוקרה, היות וזמן המגורים הממוצע בהם נמוך בהרבה לעומת המגדלים הרגילים (6.41 שנים לעומת 12.03, בהתאמה). מבחינת טיפול פורמלי בחריגות של דיירים מהכללים לא נמצא הבדל בין שני סוגי המגדלים. עם זאת יש לציין שאחוז המשיבים שידוע להם על טיפול פומרלי דומה בשני המדגמים, למרות שממוצע שנות המגורים בבניין שונה מאוד. הדבר מצביע כנראה על נטיה חזקה יותר לשימוש בפתרונות פורמליים (שיחה מסודרת עם הדייר ו־הליך משפטי) במגדלי היוקרה. במילים אחרות ניתר לומר שהסבלנות לחריגה מהכללים מועטה יותר במגדלי היוקרה.
בנושא של נהלים הנוגעים לשיפוצים בדירות המגורים נמצא שאין שוני בין מגדלי היוקרה לרגילים. לעומת זאת, נמצא שבמגדלים הרגילים מידת הפגיעה שסבלו דיירי מגדלים רגילים משיפוצים כאלו גבוהה מזו שחשו דיירי מגדלי היוקרה. מידת הפגיעה אינה קשורה לקיומם של נהלים מסודרים בנושא, אך כן קשורה למספר שנות המגורים בבניין. מכאן, ניתן לומר שזמן המגורים בבניין הוא הגורם המשפיע ביותר על חשיפה לויכוחים ולפגיעה משיפוצים, ככל הנראה יותר מסוג המגדל. בנוסף, יש לציין שבמגדלי היוקרה החדשים נפוץ המצב שבו רוכש דירה שקונה מהיזם מקבל מעטפת שמחייבת שיפוץ. איני יודע עד כמה הדבר נפוץ, אם בכלל, במבנים אחרים. כמו כן, לא נבדק האם יש הבדל בין מגדלים רגילים ליוקרתיים באחוז רוכשי דירות, שלא מהיזם, שמשפצים את דירתם לפני הכניסה אליה.
פרטיות
נמצא באופן ברור שרוב הדיירים, בשני סוגי המגדלים, לא מרגישים שום פגיעה בפרטיותם, עקב הימצאותם של שומר ואמצעי אבטחה אלקטרוניים במגדל.
ילדים
הממצא המשמעותי בנושא הילדים הוא שבמגדלי היוקרה יש פחות דיירים שלהם ילדים שגרים בבית. כפי שצויין מעלה, יש בכך כדי לתמוך בהנחה שרבים מדיירי מגדלי היוקרה עברו אליהם לאחר שילדיהם גדלו ועזבו את הבית, כאשר לפחות בחלק מהמקרים מקום המגורים הקודם היה בית פרטי ביישובים סביב תל אביב. ממצא נוסף הוא שילדים במגדלי היוקרה נוהגים להפגש במתקני הפנאי יותר מאשר בדירות. כצפוי, נמצא שהמצב שונה במגדלים הרגילים, שברובם אין מתקני פנאי. ממצא מפתיע הוא קשר הפוך, בשני המדגמים, בין מידת הקשר בין הילדים, לבין מידת הקשר של הוריהם עם השכנים. הסבר אפשרי לכך הוא שהקשר עם השכנים נמדד על פי שאלה שלא עסקה בו בלבד, אלא כהשוואה למצב במקום המגורים הקודם.
</t>
  </si>
  <si>
    <t xml:space="preserve">ובה שוכנים חלק גדול ממרכזי המחקר והפיתוח וחברות ההיי טק. היא גם הראשונה שמפתחת תפיסה רשתית מטרופולינית כוללת ובכלל זה תכנית תחבורה כוללת לרשת המטרופולינית, מערכת תחבורה יעילה פנים מטרופולינית, שימור שטחים ירוקים והגנה על הסביבה.
הפיתוח המטרופוליני אינו מתפרס על פני המרחב כולו. חיפה שוכנת בקצה אזור הצפון והשפעתה עליו מצומצמת. מחוץ לתחום השפעתה ולפרוזדור המוליך אליה מצויות ערים יהודיות ויישובים ערבים שאינם נהנים מהפיתוח המטרופוליני. באר שבע אינה הופכת למוקד מרכזי לפיתוח הנגב ואינה מתמודדת עם האתגרים המחמירים שמסביבה ובכלל זה גידול האוכלוסייה הבדווית וצרכיה. כתוצאה מכך גל הפיתוח, שחווים המוקדים המטרופולינים והיישובים שלאורך הפרוזדורים המקשרים, אינו מגיע ליישובי קצה מרוחקים כמו דימונה, ירוחם ומצפה רמון או טבריה, צפת וקרית שמונה והיישובים ברמת הגולן. היישובים הכפריים נעזבים לנפשם. במרכז נבלע חלק גדול מהם על ידי ההתפתחות העירונית המואצת. בשוליים הם מתקשים מאוד להתמודד עם האתגרים, הרשויות חלשות והיוזמה המקומית מועטה. התוצאה היא צמיחה מקוטבת בפריפריה.
ההתערבות הממשלתית השואפת למתוח את הגלובליזציה ויתרונות הליבה לפריפריה מתעלמת מהייחודיות האזורית, מהצרכים של אוכלוסיות שבשולי הארץ, ומהקושי של רשויות מקומיות מרוחקות לקדם צמיחה כלכלית. התערבות זו אינה מלווה בפריסת רשת ביטחון מקיפה המיועדת לקידום החלשים ולמיתון פערים בין קבוצות. היא אינה פועלת להגברת השילוביות בין ערבים ליהודים ובין חרדים לחילונים, אינה מייצרת מספיק מקומות עבודה למגזר הערבי, ואינה פועלת למתן הכשרה לקבוצות חלשות הצופה את מקצועות העתיד. ההתערבות הממשלתית גם אינה מכינה תכנית אסטרטגית לכפר ולחקלאות ומותירה את אלה בידי כוחות השוק.
התוצאה היא העברת הפיצול המרחבי מהרמה הארצית לרמה האזורית, תוך כדי יצירת כלכלה אזורית מקוטבת. הקיטוב יוצר מקומות חזקים בפריפריה המושכים אליהם אוכלוסייה מבוססת ומקומות חלשים בפריפריה שבהם מתרכזת אוכלוסייה תלויה. באזורי הפריפריה שבהם מרוכזת אוכלוסייה חזקה נרשמות עליות בפריון העבודה ובשכר, ובכלל זה גם של עובדים בעיסוקים מסורתיים (בשל הגידול בביקוש למוצרים ולשירותים שהם מייצרים). תהליכים אלה מאיצים את הצמיחה והפיתוח של חלק מהיישובים בפריפריה, מצמצמים במידת מה את האי-שוויון הארצי, אך ברמה האזורית מעמיקים הפערים בין היישובים.
</t>
  </si>
  <si>
    <t xml:space="preserve">א1ד1ת המרכז לחקר העיר 1האזור
המרכז לחקר העיר והאזור הוקם בטכניון בשנת 1969 על-ידי פרוסי משה היל ז"ל. מאז 1989 המרכז זוכה לתמיכתה הנדיבה של משפחת פיליפ ואתל קלצניק. המרכז לחקר העיר והאזור מהווה את מוקד המחקר של הפקולטה לארכיטקטורה ובינוי ערים בנושאי העיר והאזור. חוקרי המרכז פועלים בשיתוף ע□ מוסדות מחקר אחרים בטכניון, עם עמיתים חוקרים במוסדות אחרים בישראל ועם מרכזי מחקר אקדמיים מובילים בחו״ל.
ייעודו של המרכז הוא לקדם את הידע וההבנה של תהליכים מרחביים בהיבטיהם הכלכליים, חברתיים ואת דרך תפקודם, המרכז מפתח המלצות מדיניות ותכנון ברמה הלאומית, האזורית והיישובית-מקומית. שני העקרונות המנחים את עבודת החוקרים הם מצוינות אקדמית על פי אמות מידה בינלאומיות ותרומה לאיכות החיים של הפרט והחברה בישראל בדור הזה ולדורות.
החוקרים הפעילים במרכז עוסקים במגוון רחב של תחומים וביניהם: תיאוריות התכנון, דיור, תחבורה, שיקום עירוני, פיתוח אזורי, פיתוח נדל״ן ומודלים לחיזוי פריסת פעילויות במרחב, תכנון ומשאבי טבע (מים, אנרגיה), תכנון ועיצוב הנוף, הגירה וגלובליזציה, היבטים משפטיים של תכנון ומקרקעין, מאבקים מרחביים והפוליטיקה של המרחב, חדשנות ופיתוח אזורי, דיור בדגש על דיור בר השגה, שיטות ממוחשבות מתקדמות בתכנון, כולל בסביבות עתירות מידע (Big Data), שיתוף הציבור בתכנון ועוד. במקביל נבנו כלים לניתוח מרחבי וייצוג של תופעות חברתיות, כלכליות וסביבתיות, ניתוח וכלים להתחדשות עירונית, גישות חדשות לתחבורה כולל דרכים להשגת צדק תחבורתי וניתוח רחב של "ערים חכמות".
</t>
  </si>
  <si>
    <t>מתחלפות 1' ו', ם' □, יותר טעויות בכותרות</t>
  </si>
  <si>
    <t xml:space="preserve">בריכוזים נמוכים יותר אלמלא הייתה מתרחשת תחרות, והאינטרפרטציה עלולה לשגות בהערכת חסר של ריכוזיהן בתת-הקרקע.
במסגרת ניסויי המעבדה נערכו חמש סדרות ניסוי: 1. ניסוי בו נדגם כל שתיל בנפרד על מנת לבחון את שונותם. 2. סדרת ניסויי ספיחה של 1,1,1-TCA על שתילים. 3. סדרת ניסויי ספיחה של TCE על שתילים. 4. סדרת ניסויי ספיחה בתנאי תחרות כאשר ריכוז ה--1,1,1 TCA נשמר בכל הניסויים על ריכוז גבוה וקבוע ואילו ריכוז ה-TCE מועלה בהדרגה בכל ניסוי. 5. סדרת ניסויי ספיחה בתנאי תחרות כאשר ריכוז ה-TCE נשמר בכל הניסויים על ריכוז גבוה וקבוע ואילו ריכוז ה-1,1,1-TCA מועלה בהדרגה בכל ניסוי.
1,1,1-	TCA-1 TCE נבחרו משום שהם נקלטים היטב ע״י עצים ושום שאלו שתי תרכובות דומות ושכיחות מאד בין המזהמים הנפוצים באקוויפרים בעולם בכלל ובארץ ובאתר 'מגן' בפרט.
TCE 3.1.1
TCE) Trichloroethylene) נחשב היום לאחד המזהמים הנפוצים ביותר בסביבה ומחקרים רבים עוסקים מזה זמן רב באפשרויות שונות של ניטורו, פירוקו ונטרולו. כאשר משוחרר ה- TCE לסביבה כנוזל הוא נוטה להתאדות מעט, להיספח מעט אל הסדימנטים והחומר האורגני אך בעיקר הוא נוטה לחלחל מטה אל מי התהום, להצטבר בתחתית האקוויפר כ- DNAPL ולהישאר שם כגורם מזהם לאורך שנים. מקורות עיקריים לשחרור TCE לסביבה הן תעשיות הנגרות, המתכות, וייצור מכשירי החשמל. בגלל היותו נוזל ליפופילי משמש ה- TCE כמנקה מתכות לפני צביעה ובעבר השתמשו בו גם בתהליך הניקוי היבש. כמו כן הוא מהווה ממס טוב של שומנים, שעווה, שמנים, גומי, צבע, לכה, צלולוס, אסתר ואתר. נעזרים בו בתעשיית הטקסטיל, המשקאות ובתעשייה הכימית להכנת חומרים כימיים שונים. בעבר השתמשו בו למיצוי הקופאין מהקפה ושמנים ושומנים ממוצרי מזון. ב-1991 יוצרו בארה״ב 145,000 טון TCE. למרות שישנן עדויות מוגבלות לרמת הקרצינוגניות של TCE בבני אדם, ישנם מספיק עדויות לקרצינוגניות בחיות מעבדה. חשיפה ^TCE מביאה לגירויים בעיניים, באף ובגרון ורעילותו הקריטית האורלית נאמדת ב-3 עד 5 מ"ג לק״ג. אחד מתוצרי הפרוק שלו בקרקע הוא ויניל כלוריד שנחשב כחומר מאד מסרטן [42]. הריכוז המרבי המותר במי שתייה הוא 50ppb בישראל 5ppb-i ובארה״ב.
1,1,1,-TCA 3.1.2
ה-1,1,1-TCA משמש כממס לשרפים טבעיים וסינטטיים, לשמן, שאווה, זפת ולאלקלואידים. משתמשים בו בתעשיית הניקוי היבש, ניקוי קר של מתכות, מנועים פלסטיק ורכיבים אלקטרוניים. ב-1992 יוצרו בארה"ב 313,000 טון מחומר זה. בעת שחרורו לקרקע הוא מתנדף מהר אך מכיוון שהספיחה לקרקע זניחה הוא גם מחלחל מהר למי תהום.
</t>
  </si>
  <si>
    <t xml:space="preserve">למידת זיהוי והערכת תכנים, הכרת התמחויות, סדנאות, תרגילים מעשיים, ניתוח מקרי בוחן וסיורי שטח. ניתן להבחין במגמה ברורה, הן בקרב המרצים והן בקרב הסטודנטים, של הפנמת הרעיון שאין "גישה אחת" (one-fits-all approach), מה שפותח אפשרויות לחקירה ופיתוח גמישות מחשבתית (עם׳ 333 academic curricula).
קורסי חובה
תכנית הלימודים כוללת קורסי חובה בנושאי תכנון סביבתי, לדוגמה:
.(academic curricula 329 עמ׳) .University of Nottingham, Faculty of Engineering - Built Environment Dep
מסלול לימוד: BArch שלוש שנים + דיפלומה 2 DipArch שנים
שנה ראשונה במסלול BArch:
קורס חובה (module) שנתי "עיצוב סביבתי נ": הצגת השפעות הדדיות של הסביבה הטבעית, ההתנהגות האנושית והעיצוב הסביבתי. הצגת תכנון אקלימי,אור טבעי כמרכיב חיוני בתכנון נוחות ויזואלית, תכנון חללים על פ׳ שושנת הרוחות, עקרונות קיימות ושימור אנרגיה. בנוסף, הסטודנטים מתרגלים את הידע הנלמד בסיור׳ חוץ, הקמה וניתוח תוצאות של שעון שמש ומודל תלת ממדי של מסלול השמש, וחישובי הצללה של אלמנט מצליל על מבנה/חלון. במסגרת לימודי סטודיו, על הסטודנט להציג כחלק מהעבודה המסכמת, אסטרטגיה וניתוח טכני של הכנסת אור טבעי למיזם.
שנה שנייה במסלול BArch:
קורס חובה (module) סמסטריאלי "עיצוב סביבתי וטקטוניקה נ": הכרה וניתוח של המערכות הסביבתיות, מערכות המבנה וחומרי הבניין והשפעותיהם על תנאי המשתמשים בבניין. המשך ניתוח מעמיק של תאורה טבעית ונוחות תרמית. הצגת כלים לפיתוח וניתוח של אסטרטגיות בנייה סביבתיות ודרכים להטמעתן בתהליך התכנון.
הקורס מתבסס על "למידה מתוך עשייה" ומחייב השתתפות בסדנה והגשת דוח טכני של הפיתוח הסביבתי והמבנ׳ של מיזם העבודה המסכמת, במסגרת לימודי סטודיו שנה 2.
שנה שלישית במסלול BArch:
קורס חובה (module) שנתי ״עיצוב סביבתי וטקטוניקה 2״: המשך העמקה והתמקדות בנושא תנאי המשתמש בבניין: תאורה טבעית, נוחות תרמית, אקוסטיקה ובו׳ ולמידה של אסטרטגיות משלבות. הידע מועבר בהרצאות ומודגש גם בשיעור׳ הסטודיו. הקורס מחייב הגשת עבודה אישית וקבוצתית, המנתחת מערכות תכנון סביבתיות של מקרה בוחן.
קורס בחירה (module) סמסטריאלי ״קיימות סביבתית: עקרונות ופרקטיקה״ (מתוך מסלול BA בלימוד׳ אדריכלות): הצגת הנושאים הסביבתיים בהקשר לסביבה בנויה והשפעתם על התכנון הסביבתי. התכנית כוללת הגשת עבודה קבוצתית לניתוח מקרה בוחן, ועבודה מסכמת אישית בנושא.
שנה ראשונה מסלול דיפלומה DipArch:
תכנון סביבתי נלמד בעיקר בקורסי בחירה וסמינרים:
קורס חובה (module) סמסטריאלי "חומרים, עיצוב וטכנולוגיה": במסגרת הקורס ניתן לבחור בנושאים האלה: תכנון סביבתי של מגדל (tall building), תכנון לדיור סביבתי, טקטוניקה עירונית, מיזם "הבניין החי/נושם". הלימוד בקורס כולל השתתפות בסדנה, הדמיות ממוחשבות, לימוד הערכה עירונית (urban appraisal), ועבודות תכנון ומחקר. קורס בחירה (module) סמסטריאל׳ "עיצוב אדריכלי ו" וסמינר "עיצוב אדריכלי ו": ניתן לבחור בנושא אדריכלות וסביבה, המתבסס על המודלים שנלמדו בשנה הראשונה של לימודי BArch, וסוקר את ההשלכות של הטמעת האסטרטגיות הסביבתיות בבסיס תהליך התכנון, בדיקת היתכנותן וניתוחן באופן ביקורתי.
שנה שנייה מסלול דיפלומה DipArch:
עבודת תזה (סמסטר 2): עבודת המחקר כוללת מידע הנאסף משיעור׳ השלמה בנושאים סביבתיים ומחויבת לעמוד ברשימת קריטריונים סביבתיים הניתנים מראש.
</t>
  </si>
  <si>
    <t>מתחלפות י' ', ו' 1</t>
  </si>
  <si>
    <t xml:space="preserve">1.2	היתרונות לקבלן במימוש תוכנית ניהול פסולת באתר בנייה והריסה
•	הפחתת עלויות סילוק פסולת, מימוש פוטנציאל ההכנסה משימוש חוזר ומחזור.
•	חיסכון במשאבי זמן ודיווח )תקורות קבלן(.
•	הימנעות מסיכונים בביצוע עבירות סביבה.
•	שיפור המוניטין כחברה וסיוע להגנה על הסביבה.
•	שיפור פרויקטים עתידיים והפקת לקחים מיישום תוכנית ניהול אתר.
1.3	מטרה
מטרת הנוהל לאפיין דרישות לתוכנית ניהול פסולת באתר בנייה והריסה על מנת לצמצם את סילוק חומרי הפסולת להטמנה באופן אופטימלי.
1.4	הגדרות
המבנה
קבלן
מזמין העבודה סקר פסולת עורך סקר פסולת יעד מחזור
יעד סילוק רשות ממונה
מבנה המיועד להריסה או שיפוץ.
גורם הביצוע האחראי להריסה, טיפול בחומרים באתר ופינוי מהאתר
)הערה: קבלן יכול להיות גם "מבקש"(.
הגורם שבעבורו הקבלן מבצע את העבודות )יזם, בעל נכס וכיוב'(.
סקר ייעודי לסוגים ולכמויות של הפסולת במבנה המיועד כמוגדר בנוהל.
גורם מקצועי כמוגדר בנוהל.
אתר או עסק המוכר ע"י המשרד להגנת הסביבה כפתרון למחזור.
מפעל מחזור פסולת בנייה או מטמנה לפסולת בנייה והריסה מאושרים ומוסדרים. הרשות שתוגדר אחראית לקבלת המסמכים הקשורים להריסה ואישורם במסגרת הרישוי לבנייה.
רשימת מצאי חומרים - רשימת חומרים מיועדים להריסה במבנה ערוכה לפי הנספח לנוהל זה.
בתוכנית יוגדרו:
•	הגורם האחראי על ביצוע הסקר.
•	הקבלנים האחראים על ניהול הטיפול בפסולת בפועל, לרבות שימוש חוזר, מחזור או סילוק באופן חוקי ומבוקר.
•	סוג הפסולת שתיווצר בפרויקט.
•	אופן הטיפול בפסולת באתר.
•	מדידת כמויות פסולת וחומרי מחזור או שימוש חוזר ביציאה מהאתר.
1.5	תחולה
נוהל זה הוא וולונטרי )התנדבותי - בלתי מחייב כחוק( ומומלץ ליישום בעת ביצוע עבודות בנייה בשווי של יותר מ-2.0 מיליון ₪ לא כולל מע"מ.
</t>
  </si>
  <si>
    <t xml:space="preserve">מבוא
ייתכן שמדינת ישראל עומדת בתחילתו של עידן חדש, בו משתנה כל המערכת האזורית היסודית. קיומו של תהליך שלום והתייצבותו האפשרית בשנים הבאות עשוי להווה תרומה חיובית למשק הישראלי כמו גם לאזור כולו.
במידה ומציאות זו אכן תתייצב בשנים הבאות, מחייב הדבר היערכות אקטיבית בתחום הכלכלי. לא יהיה זה נכון לראות בתהליך השלום תופעה של שיפור רציף בתנאים הכלכליים בהם פועלת המדינה, ולהמתין למה שקרוי "פרות השלום". תהליך השלום אינו מהווה שינוי רציף במציאות הכלכלית, הוא מהווה שינוי בעל אופי של החדרת זעזוע אל תוך המערכת. אין מדובר על שיפור בתנאים בלבד (אם כי מרכיב זה בוודאי קיים), אלא גם ובעיקר על ביטול מסגרות ופרמטרים כלכליים ישנים, ועל יצירת כללי משחק חדשים. שינוי דרסטי זה מחייב גיבוש מחודש של יעדים לאומיים לטווח רחוק, והערכה מחודשת של כיוונים מנחים של מדיניות כלכלית, כבר בטווח הקצר.
הדברים אינם טריביאלים כלל וכלל. במחקרים השונים שבוצעו לאחרונה, אין בהכרח הסכמה לגבי דברים שנראים מובנים מאליהם לכאורה. קיימת בדרך כלל הסכמה לגבי התרומה הפוטנציאלית של השלום למשק הישראלי, אך אין תמיד הסכמה לגבי היקפה של תרומה זו. קיימת בדרך כלל הסכמה לגבי היעילות של שיתוף כלכלי אזורי, אך היקפו האופטימלי ומרכיביו של שיתוף זה אינם ברורים כלל. קיים מגוון רחב של גישות בטווח שבין החשיבות של אינטגרציה אזורית כמעט מוחלטת (בסגנון השוק האירופי), ובין הצורך בשמירה על הייחודיות הכלכלית הלאומית, ועל כן הצורך בקיום הפרדה בין הכלכלות.
נסקור תחילה את הסימנים הראשונים העשויים להצביע על השפעתו של תהליך השלום על המבנה הכלכלי ונצביע על גורמים עיקריים העשויים להסביר השפעה זו. בהמשך, נתייחס לאפשרויות של שיתוף פעולה כלכלי בין ארצות האזור, ונציע דפוסים אפשריים שונים, ברמות שונות של שיתוף.
1.	תרומת השלום: סימנים אחדי□ מהניסיון הקצר שנצבר
מדינת ישראל חתמה עד עכשיו הסכמי שלום רק עם שתי מדינות, מצרים וירדן, והסכמי ביניים עם הרשות הפלסטינית. ההסכם עם מצרים כבר קיים מזה מספר רב של שנים, אך שני ההסכמים האחרים נעשו רק לאחרונה, ועל כן קשה לערוך כבר עתה בחינה אמפירית של השפעתם. יחד עם זאת, ניכרים כבר מספר סימנים, שהם בחלקם תולדה של הציפיות שנולדו עם תחילת התהליך המדיני. תנאים של יציבות פוליטית, או ציפייה לתנאים כאלה, וכן המגמה של החלשות החרם הערבי, מקטינים את רמת הסיכון של ההשקעות, מגבירים את התוחלת לרווחים, ולכן יוצרים בסיס לצמיחה כלכלית, זאת לעומת חוסר יציבות וסכנה למלחמה המהווים מרשם לבריחה של משקיעים.
נתוני התמ״ג בשנים האחרונות אכן מצביעים על שיעורי צמיחה מהירים ביותר (לוח 1) בהשוואה לתקופות קודמות, גם אם ניקח בחשבון את הגידול המהיר באוכלוסייה כתוצאה מזרם העלייה הגדול, בעיקר מארצות ברית המועצות לשעבר. בשנת 1995 עצמה נרשם שיעור צמיחה מרשים של %ו.7 בתמ״ג (8.6% בתמ״ג העסקי), אם כי בשנת 1996 צפויה האטה בקצב הצמיחה.
</t>
  </si>
  <si>
    <t xml:space="preserve">סביבה של שלום היא תנאי הכרחי לתפיסה של המרחב האזורי כמרחב שלם רציף והטרוגני שבתוכו ניתן לפתח רשתות תשתית ותחבורה המשכיות. היא תנאי לתפיסת אזורי הגבול כאזורי מפגש ולמעבר ממאבק טריטוריאלי בין יהודים לערבים בישראל לשילוב מרחבי ושיתוף פעולה.
"תסריט השלום" פועל כמניע עיקרי של השינוי במטרות הלאומיות, אם כי שורשי השינוי קשורים גם לתנאים אחרים. דוגמה לכך היא העלייה במשקלם של היעדים הכלכליים, החברתיים והסביבתיים על חשבון היחלשות היעדים הפוליטיים והביטחונים. לכך יש השלכות תכנוניות רבות בתוכם: הדגשה של מימדיה הקטנים של מדינת ישראל; התאמת הדגמים לפיתוח של מערכי היישובים ברמה האזורית לשיקולים כלכליים ־ ניצול טוב יותר של יתרונות לגודל ולהתמחות; שינוי בדגמי ההתערבות של הממשלה בתהליכי הפיתוח ובדגמי הפיתוח.
יש תהליכים שסביבה של שלום מאיצה את קצב שינוים ומגדילה את עוצמתם. בתחום החברתי היא תאיץ את העלייה במשקלם של "ערכי הפרט׳ על חשבון "ערכי הכלל', תבליט את ההכרה ברב גוניותה של אוכלוסיית המדינה ותדגיש את הצורך לצמצם את הפערים הבין אזוריים בישראל בין השאר באמצעות העקרון של "פיזור׳ פעילויות ברמה הלאומית ר׳ריכוזך׳ ברמה האזורית. בתחום הסביבתי תחזק סביבת השלום את תפיסת ערכי הטבע והנוף כבסיס ל׳איכות חיים" ותבסס את ההכרה בצורך לשמר את ה״משאבים הלאומיים" ולנצלם באופן יעיל בכלל ובמיוחד בהקשר של משאב הקרקע ומשאב המים.
12.4	מערך הפעילויות והיישובים ■
שילוב בין מבנה המרחב הלאום׳ לבי! העקרונות הפרוגרמטיים
אל המערך המשולב שמתאר את מבנה המרחב הלאומי בהקשר של שלום (ראו סעיף 12.3 לעיל) מצטרף הרובד הפרוגרמטי. שתי נקודות מוצא אלה - מבנה המרחב וארגונו לדגמי פיתוח רצויים מן הצד האחד וההרכב הכמותי הנכון של מרכיביו מן הצד השני ־ משלימות זו את זו ומגדירות את ״תמונת העתיד׳ המשולבת. ראו מפה 12.4. הרובד הפרוגרמטי מתחלק לשני מישורים - תמונת היעד לתפרושת האוכלוסייה (הוצגה בפרק 10) ותמונת היעד לתפרושת שימושי הקרקע (הוצגה בפרק 11).
בסעיף זה נתמקד בהצגת העקרונות הפרוגרמטיים הבולטים שמרכיבים את מערך הפעילויות המשולב. להצגה מלאה של תמונת היעד הפרוגרמטית ראו פרקים 10-11 לעיל.
תפרושת אוכלוסייה: תמונת יעד
תמונת היעד לתפרושת האוכלוסייה כוונה להגשים שורה ארוכה של מטרות ולממש ארבעה עקרונות תכנוניים מרכזיים: עקרון ה״פיזור המרוכז" (שמירה על ריכוזיות המרחבים המעוירים - סה״כ 80% מאוכלוסיית המדינה מתגוררת על 20% משטחה); ניצול דגמי פיתוח חסכוניים בקרקע (בין השאר הדגשת דגמי פיתוח עירוניים); הגדלת השוויוניות המרחבית (בין השאר האצת תהליך העיור של האוכלוסייה הערבית ועידוד שילובה במרחבים המעוירים בכלל ובמרחב המעויר המרכזי בפרט); גיוון הפתרונות של דגמי הפיתוח המרחביים בראייה ארצית כוללת ובכל אחד מהמרחבים בהתאם להעדפות של קבוצות האוכלוסייה השונות. לתפרושת האוכלוסייה המוצעת שני הדגשים: האחד הוא שינוי בדגמי הניידות ־ הכוונת הפיתוח למרחבים מועדפים ובמיוחד למרחב המעויר הדרומי ומיתון הגידול המואץ במרחב המעויר המרכזי. הדגש השני הוא בהכוונת הפיתוח בכל מרחב ומרחב אל דגמי יישוב מועדפים.
תמונת היעד לתפרושת האוכלוסייה התבססה על חלוקת היישובים לחמישה דגמי יישוב עקרוניים. חלוקה זו נקבעה על פי גודל היישובים, צפיפותם, מיקומם היחסי על רשת הזיקות וסוג המרחב שבו הם ממוקמים. הצבת יעדי האוכלוסייה על פי דגמים עקרוניים של יישובים שומרת על הגמישות הנדרשת בתוכנית אב כוללת לטווח הארוך. בתהליכי התכנון והפיתוח האזוריים ניתן יהיה להתאים את היקפי הפיתוח בכל יישוב ויישוב למגוון רחב של שיקולים שיכללו גם את התנאים המקומיים הספציפיים תוך שמירה על היעדים הכוללים ועל דגמים שקבוצות וקהילות שונות בחברה הישראלת מעדיפות.
</t>
  </si>
  <si>
    <t xml:space="preserve">מסקנות ארציות, קשיים והשגים.
מתוך ממצאי ההערכה המובאים בחוברת, עולה כי התוכנית לקליטה וקידום של עולי קווקז בשכונות וישובי שיקום פועלת בהצלחה רבה, מזה כשנתיים, וזוקפת לגכותה הישגים משמעותיים.
להלן מספר מרכיבים, הן בתכנון והן בביצוע שתרמו להצלחת התוכנית:
היקף נרחב של פעילות
היקף הפעילות בתוכנית לקליטת עולי קווקז, המופעלת על ידי האגף לשיקום שכונות חברתי, נמדד כאן על פי שני פרמטרים: היקף ההשקעה הכספית, ומספר התושבים שהשתתפו ונהנו מהתוכניות והשירותים שבתוכנית.
היקף ההשקעה הכספית בפרויקט: בשנת 1995 אושרו בשכונות וישובי שיקום הכלולים בתוכנית לקליטת עולי קווקז תוכניות פעולה בסך כולל של כ־ 1,500,000 ש״ח.
ההשקעה התקציבית התחלקה לפי תחומי הפעולה השונים כדלקמן: בתחומי הקהילה והתיגבור הלימודי היתה השקעה בהיקף דומה, של כ- 38% מכלל התוכנית. בתחום הגיל הרך הופעלו תוכניות בהיקף של 22% מכלל התקציב. בנושאי התעסוקה והבריאות ביחד הושקעו כ- 9% מכלל התקציב.
</t>
  </si>
  <si>
    <t xml:space="preserve">6.	המודעות ומעמדות כלפי קירות/חיפוי גבס (טבלא 6 א - 6 ה)
מודעות לקירות גבס
77% מקוני הדירות שמעו על אחד או יותר ממחיצות או קירות הגבס אשר הוקראו בפניהם.
המודעות ליתרונות של קירות גבס
75% מקוני הדירות ו- 85% ממי שיש קירות גבס בביתם מציינים יתרון ספונטני כלשהו לקיר הגבס: היתרונות העיקריים שצוינו ספונטנית היו האפשרות לגמישות בשינויים, בניה מהירה יותר והוזלה במחיר. כלומר, קירות הגבס מאפשרים למרואינים גמישות עיצובית ותקציבית.
לאחר הקראת היתרונות של קירות הגבס, ציינו 54% מקוני הדירות כי אחד היתרונות המוקראים חדש להם. החסכון בזמן ועלויות והגמישות בשינויים בדירה נתפשים כיתרונות העיקריים של
</t>
  </si>
  <si>
    <t xml:space="preserve">♦ מקורות מידע לגבי הבניה ביקנעם עילית
מקורות המידע העיקריים שצוינו לגבי הבניה ביקנעם עילית היו: 39% חברים ומשפחה, 33% פרסום בעיתון, 18% "גרים באזור", ו- 17% "במקרה עברו במקום".
בקרב המרואיינים שלא התגוררו ביקנעם עילית טרם קניית הדירה, מקורות המידע העיקריים היו חברים ומשפחה (45%), פרסום בעיתון (34%),
בקרב תושבים שגרו ביקנעם עילית קודם לכן, מקורות המידע העיקריים היו: גר באזור (52%) ופרסום בעיתון (28%).
אחוז הקונים שקיבל את המידע מפרסום בעיתון (33%) דומה לרוב הישובים האחרים שנסקרו לאחרונה.
אחוז הקונים שקיבל את המידע דרך חברים ומשפחה (39%) גבוה מאוד יחסית לישובים האחרים ודומה רק לגדרה.
</t>
  </si>
  <si>
    <t xml:space="preserve">נספרו 6: העדפתם של איש׳ ציבור באוכלוסייה החרדית לגבי האזורים השונים.
1.	סיכום שיחה: דודי זילברשלג
עיתון בקהילה, בעל בתי התמחוי 'מאיר פנים'
■	חריש - פתרון מצוין.
■	חייבים לכלול פתרונות תעסוקה, בכול תהליך התכנון, כולל עסקים קטנים מהבית.
■	להתחיל מ - 3000 יחידות דיור, לפחות.
■	להבטיח לארבע קבוצות מרכזיות פרוגרמה ציבורית מפתה, ולדאוג כי, בשלבי ההתחלה יגיעו הטובים ביותר.
■	חיונית ישיבה גדולה, במרכז היישוב.
■	אזורים מועדפים: יד בנימין ואזור מסמייה.
■	נושא העלות קריטי.
■	יש לתת את הדעת על אופי הבניה, כבית צומח, בהתאם לצרכים.
2.	סיכום שיחה: הרב קרליץ
הרב קרליץ , רואה דחיפות בהערכות לפתרונות דיור לקהילה החרדית. העלה מספר אזורים נוספים הראויים, לדעתו, לבדיקה:
■	הרחבת אזור אלעד.
■	הרחבה מבוקרת של רכסים.{בכול מקרה מדובר במספרים מצומצמים}
■	אזור להב.
דרוג האזורים, המוצעים על ידינו: נחל שורק.
קריית מלאכי, מסמייה.
חריש.
קריית גת.
■	חשיבות רבה לתהליכי האכלוס: להתחיל בלא פחות מאלף פתרונות דיור, כחלק מפרוגרמה מורחבת, שזוכה להתחייבות ממשלתית.
■	מתן מענקים והטבות בשלב הראשון: הסכום אותו מסוגלים זוגות צעירים להעמיד, בשלב ראשון, לא עולה על כ 20.000 דולר והשאר, באופן שלא יעלה על 80/90 אלף דולר.
■	במידה ומדובר בחריש, הוצאת אלמנטים בעיתים, לפני שלבי האכלוס.
</t>
  </si>
  <si>
    <t xml:space="preserve">אלו חששות יש לכם מהצעה זו ?
•	בקבוצות הגברים החששות שעלו היו קשורים לרוב בנושא השכנים , וחוסר השליטה שלך לבחור שכנים טובים. גם עלה החשש מלגור ליד אנשים מחוץ לסח'נין שקשה להסתדר איתם.
•	בקבוצת הנשים כמעט ולא התגלו חששות עקרוניות למגורים בשכונה כזאת. דעת מיעוט גרסה כי יש לה חששות מנושא השכנים , וחוסר היכולת לבחור את השכנים זה עשוי להפריע לה. דעה זה לא קיבלו ביטוי או הסכמה ממשתתפות הקבוצה.
•	בקבוצת הרווקות ציינו כי החששות הן רגילות ולא עקרוניות של ניקיון וסידור והחשש הרגיל מהחיים החדשים של נשואים, אך זהו חשש כללי ולא דווקא קשור לשכונה ספציפית זו.דווקא שמענו דעות שיש ציפייה לשכונה טובה מאחר והרוב יהיו זוגות צעירים כמו כולנו...זהו ארגומנט אטרקטיבי בעיני הצעירים שעוזרים בעיצוב תדמית השכונה כאיכותית. עלה גם החשש מחוסר היכולת לבחור את השכנים, וחשש מדיירים בעייתיים מרקעים סוציו שונים אך בעיקר מאנשים זרים מחוץ לסח'נין.
•	בקרב מרואייני העומק – החששות בעיקר אם הסביבה או השכונה הזאת תתבצע בפועל בהתאם למה שהוצג בתסריט זה. כי זה נשמע להם כמו חלום בס'חנין.
</t>
  </si>
  <si>
    <t xml:space="preserve">‏ה.	מדד מחירי דירות בהשוואה למדד שירותי דיור בבעלות הדיירים
מחירי דירות בבעלות – ע"פ סקר של הלמ"ס על סמך נתוני רשות המיסים (אינו חלק ממדד המחירים לצרכן) מדד שירותי דיור בבעלות הדיירים – הינו המרכיב העיקרי בסעיף הדיור במדד המחירים לצרכן, כאשר המדידה היא עבור שינויים בשכ"ד בחוזים חדשים ומתחדשים.
השינוי במדד מחירי הדירות (המתפרסם בפיגור של חודש) לעומת סעיף שירותי דיור בבעלות הדיירים (המהווה אומדן לצריכת שירותי דיור ונמדד כאמור, לפי שינויים בשכר דירה בחוזים חדשים ומתחדשים), מראשית 2005, מצביעה על מגמות ושיעורי שינוי דומים עד יוני 2009, באופן שרמת מחירי הדירות ביחס לרמת מחירי השכירות היו זהים ביחס למחיריהם היחסיים בראשית 2005.
מאמצע שנת 2009, הפער בין מדד מחירי הדירות לבין מדד מחירי שכר הדירה בד"כ הולך וגדל (קצב עליית מחירי הדירות גבוה יותר). מחירי הדירות עלו בשיעור נומינלי מצטבר של כ- 32% ומדד שירותי דיור בבעלות הדיירים בכ- 13% (שיעור העלייה המצטבר מאז יולי 2009 ועד נובמבר 2011), פער זה גדל עד לכ-20% באפריל וביוני 2011, אולם מאז חלה ירידה מסוימת לכ-18% בדצמבר. נראה כי לאור מגמות דומות בעבר, צפויה התכנסות שתתבטא בירידת מחירי הדירות או עליה בשכר הדירה.
‏ו.	דירות שכורות לפי סוג המטבע הנקוב בחוזי השכירות:
בשנים האחרונות ניכרת מגמת מעבר לפרסום מחירי דירות וחתימת חוזים בשקלים בעת ביצוע עסקות שכר דירה במשק. בינואר 2005, 11% בלבד מחוזי השכירות היו נקובים בשקלים, ואילו בינואר 2012 הגיע משקל החוזים הנקובים בשקלים לכ- 96% (בחוזים חדשים ומתחדשים 94%). הסיבה העיקרית לשינוי הינה תיסוף חד בשע"ח של השקל לעומת הדולר בשנים האחרונות.
</t>
  </si>
  <si>
    <t xml:space="preserve">148
C.	בדיקת תסבולת קירות החיזוק בתנאים שונים מהתנאים המקובלים כבסיס.
(אזורים סיסמיים שונים וסוגי קרקע שונים לפי מקדם (K
בדיקת תסבולת החתכים של קירות חיזוק/עמודי חיזוק לפי דיאגראמות "M –N"
בציורים 10.11 - 10.16 .
תיאור הציורים:
ערכים של מקדם K :
1=K - קווים כחולים בדיאגראמות "M –N"
2.4=K - קווים אדומים בדיאגראמות "M –N"
סוג בטון: ב- 30 (למרבית המקרים) או ב-40 .
גבולות אחוזי זיון: 2.0% – 0.5
D.	יסודות בתנאים שונים מהתנאים המקובלים כבסיס.
(אזורים סיסמיים שונים וסוגי קרקע שונים לפי מקדם (K
הבחירה הסופית של פתרון ביסוס (עובי פלטה, קוטר ואורך כלונסאות, זיון האלמטים האלה, כמות כלונסאות - אם נבחרה שיטת הביסוס הזאת) - נקבעים בהתאם להנחיות ביחסים אשר חייבים להיות בכל פרויקט של שדרוג סיסמי.
לצורך הערכה עבור ביסוס של אב הטיפוס הנבחר , אחרי סדרות חישובים ניתן לקבוע מאפיינים של היסודות המפורטים בטבלה 12.
</t>
  </si>
  <si>
    <t xml:space="preserve">4.2.	הגדלת תסבולת הצינור
סעיף זה עוסק בשיטות להגדלת תסבולת הצינור. את תסבולת הצינור ניתן להגדיל הן על ידי שינוי החומר ממנו עשוי הצינור לחומר בעל חוזק ומשיכות גבוהים יותר, או תוספת ציפויים פנימיים לצינור המגדילים את משייכותו, והן על ידי הוספת מחברים לצינור המאפשרים תזוזות של הצינור.
4.2.1.	חומרים בעלי חוזק ומשיכות גבוהים
החומר ממנו עשוי הצינור וגיאומטריית החתך משפיעים על התסבולת בהטרחות השונות. הגדלת הקוטר ועובי הדופן בצינור והתקנת צינור מחומר בעל תכונות כמו חוזק ומשיכות גבוהים עשויים להגדיל את תסבולת החתך באופן משמעותי. לעומת זאת, אזורים בצנרת בהם קיימים שינויים בעובי הדופן (עקב שינוי בחתך הצינור או בלייה של הצינור) מרכזים סביבם מאמצים, ולכן יש להימנע מהם בקרבת העתקים.
(1983)	Eguchi בדק יחסים אמפיריים בין תזוזת העתק למספר הכשלים בצינור כתלות בסוג הצינור (איור 46). על אף שאין התחשבות בזווית בין קו ההעתק לצינור, בעומק ההטמנה ובגיאומטריית החתך, ניתן לראות כי עם העלייה בגמישות הצינור, כך גדלה התסבולת שלו לעיבורים.
58
</t>
  </si>
  <si>
    <t xml:space="preserve">42
2.5.2.	הזזות לוקאליות
הרעיון בבסיס מחקר זה הוא לבחון את היכולת של מבנה מגורים רגיל לעמוד בתזוזות הנוצרות כתוצאה מהעתקה אנכית. במקרה של הזזות גדולות באלמנטים מתבקשת אנליזה אי-לינארית נשלטת תזוזות ולא אנליזה לינארית נשלטת כוחות כמתואר בת"י 466. עם זאת, כפי שצוין לעיל (סעיף 2.2), המבנה הישראלי מתאפיין בקשיחות אופקית גבוהה (לנוכח פירי הממ"דים ופיר המעליות) וקשיחות אנכית גבוהה (ביסוס על ידי רפסודה) וצפוי להתנהג ברובו כגוף קשיח ללא הזזות לוקאליות (פנימיות) גדולות. התנהגות גוף קשיח מאפשרת לתכנן מבנה להעתקה אנכית כמבנה רגיל המתוכנן ע"י המהנדס ה"סביר" באנליזה לינארית בהתאם לת"י 466. על מנת להבטיח פעולת גוף קשיח, קבענו אמת מידה להזזת סף לוקאלית, 500/L, שמתחת לערכה סביר להמשיך ולהשתמש בת"י 466 לתכן האלמנטים המבניים – גם למצב של התמודדות עם העתקת פני הקרקע. על פי ההזזות הגלובאליות שהוצגו באיורים 34-37, ניתן לראות כי במפתחים שבין הקירות ההזזות ברכיבים גדולות מאשר בשאר המבנה (התחומים מסומנים להלן באיור 39). בנוסף, ניתן לראות שההזזות בכל הרכיבים האופקיים במפתחים אלו שוות לכל גובה המבנה (בהתעלמות מהשפעת העיבורים הציריים של העמודים) – לכן נתייחס להזזות ברפסודה באזורים אלו וניתן להשליך את התוצאות גם על ההזזות האנכיות בתקרות.
ההזזות חושבו באמצעות חישוב השקיעה היחסית בין שתי קצוות כל אלמנט נבדק. חישוב השקיעה של אלמנטי הרפסודה נעשה לפי הנוסחה הבאה:
</t>
  </si>
  <si>
    <t xml:space="preserve">3.8.4.4	מנעול דלת של בית שימוש, אמבטיה או מקלחת יהיה ניתן לפתיחה במקרה חירום, מחוץ לחדר.
הפרשי גבהים במשטחי רצפה הסמוכים לסף דלת תק' (מס' 3) תשס"ח-2008
3.8.4.5	(א) הפרשי גבהים במשטחי הרצפה בין שני צדי הדלת או גובה סף הדלת יהיה לפי דרישת פרט 3.2.1.5; ואולם בדירת מגורים ביציאה למרפסת, לגג או לחצר, מותרת התקנת מדרגה עד גובה של 200 מ"מ.
(ב) בדלת כניסה לדירת מגורים לא יעלה הפרש הגבהים על 20 מ"מ ולא תחול הדרישה להתקנת סף משופע כאמור בפרט 3.2.1.5.
כיוון פתיחת דלת במוצא בטוח תק' (מס' 3) תשס"ח-2008
3.8.4.6	הותקנה דלת במוצא בטוח, כיוון פתיחתה יהיה בכיוון המילוט, למעט דלת בדירת מגורים הנפתחת ישירות אל מוצא בטוח.
בליטת דלת אל מעבר, פרוזדור או חדר מדרגות תק' (מס' 3) תשס"ח-2008
3.8.4.7	פרט 3.2.1.10 לא יחול לגבי דירת מגורים.
דלת מעוכבת יציאה תק' (מס' 3) תשס"ח-2008
3.8.4.9	מותר להתקין דלת מעוכבת יציאה בתנאי שלא תהיה יותר מדלת אחת בכל דרך מוצא.
בניין מגורים הכולל דירת מגורים אחת בכל קומה תק' (מס' 3) תשס"ח-2008
3.8.4.10	לגבי בניין מגורים הכולל דירת מגורים אחת בכל קומה, לא יחול פרט 3.2.1.14 לענין חזרה מחדר מדרגות לתוך הבניין.
צוהר בדלת אש תק' (מס' 3) תשס"ח-2008
3.8.4.1	פרט 3.2.1.27 לא יחול לגבי בנין מגורים.
תק' (מס' 3) תשס"ח-2008
סימן ה': מדרגות וחדרי מדרגות (מגורים)
כללי תק' (מס' 3) תשס"ח-2008
3.8.4.2	במדרגות ובחדרי מדרגות יתקיימו הדרישות המופיעות בסימן ב' לפרק ב' זולת אם נאמר אחרת בסימן זה.
מספר המדרגות במהלך אחד תק' (מס' 3) תשס"ח-2008
3.8.4.3	פרט 3.2.2.6 לא יחול לגבי מדרגות בתוך דירה בבנין מגורים.
מדרגות לולייניות ומדרגות שלח מתחלף תק' (מס' 3) תשס"ח-2008
3.8.4.4	(א) בתוך דירה בבניין מגורים מותר להתקין מדרגות לולייניות ומדרגות שלח מתחלף ולהשתמש בהן כחלק מדרך מוצא.
(ב) במדרגות לולייניות ובמדרגות שלח מתחלף יתקיימו דרישות פרט 3.2.2.21.
מדרגות טרפזיות בדירה בבניין מגורים תק' (מס' 3) תשס"ח-2008
3.8.4.5	(א) בתוך דירה בבניין מגורים תותר התקנת מדרגות בעלות שלחים בצורת טרפז (להלן – מדרגות טרפזיות) לשינוי כיוון מהלך מהדרגות בלבד.
(ב) מדרגות טרפזיות יכולות להיות חלק מדרך מוצא בדירה.
</t>
  </si>
  <si>
    <t xml:space="preserve">תקנות התכנון והבניה (פטור מהיתר לעבודה לצורכי מרעה בקרקע חקלאית באזורים כפריים ותנאיו), תשס"א-2001*
בתוקף סמכותי לפי סעיפים 265 ו-266 לחוק התכנון והבניה, תשכ"ה-1965 (להלן - החוק), ולאחר התייעצות עם המועצה הארצית לתכנון ולבניה, אני מתקין תקנות אלה:
הגדרות	1. בתקנות אלה -
"אזור כפרי" - אזור שאינו בתחום עיריה;
"גדר מרעה" - גדר שגובהה עד 150 ס"מ, הבנויה מעמודי ותילי מתכת והתוחמת שטח מרעה לשם החזקת בעלי חיים בתוך החלקה ומניעת כניסתם של בעלי חיים זרים;
"דרך מרעה" - דרך עפר שרוחבה אינו עולה על 4 מטרים הנמצאת בתוך שטח מרעה ומקבילה לגדר מרעה והמשמשת לתנועת אדם, בעלי חיים במרעה וכלים חקלאיים, ולשם טיפול בעדרים ובגדרות מרעה;
"היתר" - היתר לפי פרק ה' לחוק;
"ועדת ערר" - ועדת ערר לפי סעיף 12א לחוק;
"מבקש" - מי שמבקש פטור מהיתר לפי תקנות אלה;
"מכלאת שדה" - מכלאה קבועה בשטח מרעה שבה ניתנים טיפולים וטרינריים לבעלי החיים במרעה ששטחה אינו עולה על דונם אחד, שאינה מקורה, הבנויה גדרות שגובהן עד שני מטרים, והעשויות צינורות מתכת;
"מנע בקר" - מכשול המונח על דרך מרעה החוצה גדר מרעה ושנועד להגביל תנועה חופשית של בקר וצאן אולם אינו מונע מעבר כלי רכב ממונעים או בני אדם;
"מפה" - מפה שהוכנה לפי הוראות תקנה 3;
"נכס" - חלקה הרשומה בספרי המקרקעין לפי חוק המקרקעין, תשכ"ט-1969 (להלן - ספרי המקרקעין), ובהעדר רישום בספרי המקרקעין - קרקע תחומה לפי רשת קואורדינטות ברשת ישראל החדשה, כהגדרתה בתקנות המודדים (מדידות ומיפוי), תשנ"ח-1998, ושבה מבוקש לבצע עבודה לצורכי מרעה;
"עבודה לצורכי מרעה" - התוויית דרכי מרעה ופריצתם, הקמת גדרות מרעה ומכלאות שדה, הנחת צינור מים בעבור העדרים והנחת מנע בקר - הכל לצורכי מרעה בקרקע חקלאית;
"עיריה" - כמשמעה בפקודת העיריות;
"צינור מים" - צינור להולכת מים, ממקור מים קרוב אל חלקות המרעה, למטרת הגמאת העדרים בלבד;
"קרקע חקלאית" - קרקע שמותר לפי תכנית לעשות בה שימוש חקלאי כמשמעו בסעיף 7 לתוספת הראשונה לחוק;
"תכנית" - כהגדרתה בחוק.
פטור מהיתר לעבודה 2. עבודה לצורכי מרעה בקרקע חקלאית באזור כפרי, פטורה מהיתר ובלבד שנתקיימו תנאים לצורכי מרעה בקרקע
חקלאית	אלה:
(1)	הנכס גדול מ-200 דונם;
(2)	בנכס מותר לעשות שימוש חקלאי על פי הוראות תכנית תקפה;
(3)	המבקש הכין מפה בהתאם להוראות תקנה 3 והיא אושרה לפי תקנה 4.
עריכת מפה	3.	(א) המפה תיערך בקנה מידה של 1:10,000 לפחות וייכללו בה כל אלה:
(1)	פרטי המבקש;
* פורסמו ק"ת תשס"א מס' 6095 מיום 21.3.2001 עמ' 645 (פורסמו שוב ק"ת תשס"א מס' 6096 מיום 26.3.2001 עמ' 675).
2
נבו הוצאה לאור בע"מ nevo.co.il המאגר המשפטי הישראל י
X:\Data\Research Projects\corpus_architecture\original_inputs\רגולציה\תקנות התכנון והבנייה מתוך נבו\044_151. doc
</t>
  </si>
  <si>
    <t>טקסט בטור ימני משאר הטקסט שמתערבב עם הטקסט עצמו</t>
  </si>
  <si>
    <t xml:space="preserve">ואלילו מחורבות הססוריות. תופעה זן אינה מקומית בלבד ובמצרים למשל, הוסר צפוי השיש מעל הפירמידות ונוצל לצרבי הבניה. גם א¬בני שדה לא טסותתות משמשות לבנית הקירות(ראה עמוד ם ספ ד 48). לא¬חי סמון תכנית הבנין על פני הסטה נהפרים היסודות. את התפירה מעמיקים עד לסלע מוצק. בסביבה הררית אין, בד״כ, צורך להעמיק הרבה. במדה ואין מגיעים לסלע קשה בוחרים באחד משני פתרונות מק¬ובלים: א) יסוד נמסך: מעמיקים את היסוד עד למדה השווה לגבה ה- בנין שיוקם. ב) יסוד על עמודים: חופרים שורה של בורות ובתוכם בונים עמודי אבן המחוברים עייי קסתות אבן. המרחק בין העמודים הוא 3?2 ם־״ ושפח החתך סל עמוד הוא 1 סייר בערך. גב הקשתות המח¬ברות את העמודים הוא שטוח, מגיע עד גבה פני הקרקע ומהווה את המסד. שתי צורות היסוד הנייל משמשות לקירות ולמחיצות. על פני שטח המסד מתחילים בבניית קיר האבן. בבניה העתיקה היה עבי הקירות גד ויל:804-120 ס״ם. הקיר נבנה משתי שכבות של אבנים: חצונית ופני¬מית. בהלל בין שתי שכבות האבנים נמצאת שכבת ביניים המורכבת מאבני חצץ וטיט. אבני החצץ למלוי נקראות "ג׳׳בשהי*. בכל אחד מה- נדבכים האפקיים נמצאת אבן קשר העוברת לכל עבי הקיר וקושרת את השכבה החצונית עם השכבה הפנימית. אבן הקשר נקראת "פוסמאר". TK הבניה מתחילים משתי אבני הפינה הקצוניות הקשורות אחת ליג יה פ- חבל המסמן את •מהלך הנדבן. את עומס הקיר מעל־ לפתחים נושאת קשת אבנים. אבני הקשת של הדלתות נקראות בשם "סאדאג׳את”. אבן המפתח סל הקמרון נקראת בסם "ראסיה". אם אבן זו מקושטת ובולטת ממשטח הקשת היא נקראת ייזיפרי". בשם זה נקראות אבנים המשמשות כזיזים למרפסות וכוי*. לפעמים מקורה הפתח באבנים שטוחות, במקרים כאלה נהוג להשתמש בקסת הקלה הנקראת ״חמאל״.(דאה עמוד מספר 37).
</t>
  </si>
  <si>
    <t>דיו ישן, מילים מטושטשות</t>
  </si>
  <si>
    <t xml:space="preserve">במפגשים גרועים של אנשים עם מערכות שירות החשובות לקיומם. אותן מערכות מסוגלות להגיב ביתר חיוב, כאשר התנאים אינם מאיימים עליהן. אם שינוי אינו נתפס כפגיעה במדיניות, או ככניעה ללחץ חיצוני, יש סיכוי טוב יותר שהמערכת תאמץ אותו. איש המקצוע העוסק בתיחול מכין את המערכות ואת האנשים לקשר חיובי ביניהם, עוד לפני שנוצרות בעיות הדורשות פיתרון (1985 ,SOLOMON).
אספקת מידע. אנשי מקצוע מספקים לאנשים מידע בתחומים שזוהו במשותף כחשובים: למשל, התנאים הסוציו-כלכליים של המדינה, מאמצי פיתוח קהילתי בעבר ומפלגות פוליטיות. המידע מועבר בדרכים שונות, בסיכומים בכתב, בשיחות ובפגישות בלתי פורמליות (SERRANO-GARCIA,
.(COUTO, 1989	;1984
פיתוח מיומנויות. דרכי פעולח מעצימות מתמקדות בפיתוח מיומנויות של תכנון, ארגון והערכה במסגרות קבוצתיות בדרך כלל. איש המקצוע פועל בדרכים הבאות: מקל על השתתפותם של כמה שיותר אנשים בקבוצות, מזהה משאבים פנימיים של הקהילה ומדריך את האנשים ביצירת מאגר של משאבים אלה, דואג לתכנון פעילויות מראש, מתווה תהליך ברור של קבלת החלטות שמדגיש הגדרת בעיה, הערכה ובחירה של חלופות, הקצאת משימות ומעקב אחר ביצוע, מסרב לבצע משימות שהאנשים סרבו לבצע בעצמם, מקדם נורמות קבוצתיות המענישות על אי השלמת מטלות, מפנה זמן מובנה בכל פגישה ואחרי כל פעילות להערכה, ומקדם מבנה ארגוני לא היררכי שבו קבלת החלטות מתקבלת מתוך קונצנזוס ומרבית המשימות מחולקות באופן שווה (SERRANO-GARCIA, 1984).
מודליצג. איש המקצוע משמש מודל לחיקוי התנהגות של שיתוף פעולה ושל דיאלוג. שיטח זו מאזכרת במעשים, ולא רק במילים, את המיומנויות שיש לאנשים וכך מחזקת אותם בעת העשיה. חמודלינג כרוך
</t>
  </si>
  <si>
    <t xml:space="preserve">בתי מגורים: שמירה על חצרות פרטיות או חצי פרטיות. בחזית כל בית נטעו עצי צאלון ועצי פרי ונשתלה חלקת דשא קטנה.
בתי הילדים: ממוקמים בתוך שטח הפארק ואין טיפול מיוחד בחצרות, כך שהשטח כולו הופך להיות אזור משחקים.
צל: מטרתו הראשונה של הגן היתה לספק מקום מוצל וקריר והוא אכן עושה זאת באופן אופטימלי.
הפיקוסים: הפיקוסים הינם מהירי צמיחה, נותני צל ויוצרים מיקרו אקלים קריר ולח בזמן קצר יחסית.
האפקט הטרופי: אוירת ג׳ונגל מסתורית נוצרת בגן על ידי בחירת צמחיה טרופית (פיקוסים) על שרשי האויר שלהם, הצל והלחות שהם יוצרים ועל ידי תכנון בריכות המים.
יישום התכנית כלל בשלב הראשון את נטיעת העצים והשיחים והטיפול בהם, על פני שתילת דשאים. הסיבה העיקרית לכך היתה מחסור בכלים מתאימים. שתילת הדשאים החלה כ- 10 שנים לאחר עלייתו של הקיבוץ למקום הקבע שלו.
עם התרחבות הקיבוץ, נבנתה מדרום שכונת מגורים נוספת שגם אותה תכנן יצחק קוטנר. תכנית שכונת הותיקים הדרומית, שתוכננה ב- 1956, הציעה להקיף את אזור הגן בשדירות שונות: שדירת אולמוס, איזדרכת, טספסיה, דלברגיה ושדירת מכנף נאה. השטח המרכזי תוכע כמדושא ופתוח עם טיפול מקומי לכל מבנה מגורים ונטיעות מעורבות של עצי פרי. בפועל, שדירת המכנף המזרחית לא ניטעה כמתוכע משום היותה מתוכננת באופן פורמאלי מדי ובמקומה נשתלה שדירה מעורבת של עצים שונים. תוספת המקלטים שברה את הרצף הפתוח של הדשא באזור המרכזי והתווספו נטיעות של דקלים כעץ פרי נוסף. כמו כן רב עצי הפרי נעקרו מפאת מחלות.
עקרונות התכנון והעיצוב שניתן היה לזהות בתכנית הנטיעות לשכונת הותיקים הדרומית הינם:
שדרות: גבולות מוגדרים על ידי שבילים ושדירות כאשר כל שדירה מאופיינת בעץ אחר.
השטח הפרטי: בחזית האחורית של בניין המגורים נטיעות היוצרות חלל סגור ומופנם של חצר המבנה.
</t>
  </si>
  <si>
    <t xml:space="preserve">החלפת ריצוף וחרסינות והחלפת החלונות ותריסי□ ומסתורי כביסה. לכן כאשר עוברים ברחוב, ניתן להבחין אלו דירות שופצו על ידי צעירים ואלו לא.
תאור שירותי הציבור
בעונת הרחצה, רבות מהמשפחות בפרוייקט מבלות את שעות אחר הצהרים בבריכה. בנוסף פתוחה הבריכה למבוגרים בלבד בשעות המוקדמות של הבוקר ובשעות הערב המאוחרות. בצמוד לפרוייקט יש גן שעשועים הפתוח (בניגוד לבריכה) לתושבי השכונה כולה. בשעות אחר הצהרים הגן הומה בילדים ובאמהות המשגיחות עליהם -אמהות מהבתים הישנים והחדשים כאחד. מערכת החינוך הקיימת בשכונה משותפת לתושבי הפרוייקט והתושבים הותיקים. תושבי הפרוייקט לעיתים מפעילים לחץ שהגננות או המורות יענו לדרישותיהם, אחרת יעבירו את ילדיהן למקום חלופי. על פי רוב קיימת שביעות רצון ממוסדות החינוך בשכונה.
בצומת ממול לפרוייקט ישנה מכולת שכונתית ולידה ירקן. על פי המרואיינות מאז אוכלסו הבניינים החדשים עלו מאוד המחירים בחנויות אלו והתושבים החדשים והותיקים מתלוננים על כך. את רוב הקניות עורכים תושבי הפרוייקט מחוץ לשכונה.
תאור מדגם המרואיינות בפרוייקט
הנשים המרואיינות בפרוייקט הן בגילאי ביניים שבין 60־31, שזו דירתם השנייה והשלישית (50% מהמרואיינות היו בגיל 40־31 ו-40% מהמרואיינות היו בגילאי 60־40). לרבות מהמשפחות ילדים קטנים וילדים בגיל בית ספר (30% מהמרואיינות דיווחו על ילדים בגילאי 2-4). רוב המשפחות הן בין 3-5 נפשות (80% ממרואיינות ו-20% בין 1-2 נפשות בדירה) ממוצא אירופה-אמריקה (75% מהמרואיינות באות ממשפחות ממוצא זה, אחוז דומה מתוכן הן ילידות ישראל). לרוב בעלי המשפחות השכלה גבוהה (55% מהמרואיינות בעלות השכלה של 16 שנות לימוד ויותר, ו -30% מביניהן בעלות השכלה של 13-15 שנות לימוד).
תאור מדגם המרואיינת; בבניינים הישנים הנובלים בפרוייקט
מבחינת גיל המרואיינות המתגוררות בבניינים הישנים, נמצא פיזור בכל קבוצות הגיל באופן כמעט שווה (21% מהמרואיינות בגיל 20-30, 26% בגילאי 31-40 , 32% בגילאי 41-50 ו -21% בגיל 50 ויותר). בעקבות כך- מצד אחד ישנן דירות בהן 1-2 נפשות, אלו הדירות של הקשישים מחד והצעירים מאידך (22% מהמרואיינות דיווחו על 1-2 נפשות בדירה). מצד שני ישנן דירות בהן משפחות צעירות או מבוגרות יותר שלהם בין ילד אחד לשלשה ילדים המתגוררים בדירה (58% מהמרואיינות דיווחו על 3-5 נפשות בדירה) ויש מעט משפחות להן 6 נפשות ויותר (11% מהמרואיינות דיווחו על 6 נפשות ויותר בדירה). חלק נכבד מהזוגות הצעירים רכשו את הדירות ואינם מתגוררים בשכירות.
</t>
  </si>
  <si>
    <t xml:space="preserve">5.1	הבנייה בארץ ישראל1
תנופת הבנייה ביריד סימנה מגמה של גאות כלכלית בתל אביב, שהתעצמה ביתר שאת בשנים הבאות הבנייה על כל העבודות הציבוריות הקשורות בה, הפכה לגורם מכריע בפעילותה הכלכלית של הארץ למרות שירושלים הייתה עדין ראשונה בהשקעות הבנייה בה (עקב בניית פרויקטים של ממשלת א׳ע ומבנים שוני□ של הדתות השונות למשל בית הסתדרות הצעירים הנוצריים, Y.M.C.A, שעלותו בלבד הייתה כ- 300,000 לא״י), הגידול בירושלים היה איטי ולא ניתן היה להשוותו לגידולו המהיר של תל אביב וחיפה, שתי ערי קליטה של העלייה היהודית. סכו□ השקעות הבנייה בתל אביב גדל פי עשר בין השנים 1933-1930. בשנת 1934 היו ההשקעות בבנייה בתל אביב כשניים וחצי מליון לא״י, שיא הבנייה בתולדות העיר עד שנה זו, כאשר עבודות הפיתוח והקמת הבניינים ביריד תרמו להעסקתם של מאות פועלים, וסיפקו עבודה למפעלים וספקים שונים במשך חודשים רבים.
מספר העובדים במקצועות הבנייה בארץ ישראל היה כ- 15,000 איש, כך שיחסית לתושבי הארץ (ב-1931) נמצא שעל כל 85 מתושבי הארץ, עסק אחד בבנייה, לעומת למשל יחס של 1:250 בפולין. הבנייה המואצת הרחיבה מאד את היקף התעשייה המקומית של חומרי הבנייה. תוצרת המלט של מפעל "נשר" גדלה בעקביות, ושלטה בשוק הבנייה. התפתחו תעשיות לוואי רבות של בטון, כמו לבני בטון, מרצפות, רעפים, צינורות ועוד. הדרישה המוגברת ללבנים הביאה להקמתם של שלושה מפעלים ליצור לבני סיליקט, נוסף על מפעל קיים בתל אביב. ענף הבנייה היה בתנופת פיתוח גדולה, הון רב הושקע בו והוא פירנס אלפי משפחות.
הבנייה החדשה התאפיינה בשאיפה למודרניות בסגנון ובאיכות. קיומן של חמש מעבדות לבדיקת חומרי בניין, העיד על רצון זה של הקפדה על בנייה איכותית. בתל אביב שכנה המעבדה הגדולה ביותר בארץ ובמזרח התיכון כולו, אשר הוקמה כבר ב־ 1923 על ידי אגודת האינג’ינרים והארכיטקטים בארץ ישראל. תקנות ותקנים לשיטות וחומרים היו בהתהוותם והנושא העסיק ציבור גדול בארץ. העיתונות הכתובה פרסמה מאמרים רבים, ומגוון רחב של פרסומות מסחריות פרסמו חומרים ממפעלי בנייה שהוקמו בארץ (איור 5.2).
פרק זה יבחן את תרומתו של יריד המזרח לקידום טכנולוגיית בנייה מודרנית בארץ ולהפצת פתרונות בנייה מתקדמים. כמו כן תשורטט דמותם ופועלם של המהנדס הראשי, הפועל העברי וחברת הבנייה, אשר עבודת□ המאומצת הביאה להצלחת הקמת היריד ולפתיחתו במועד המתוכנן.
</t>
  </si>
  <si>
    <t xml:space="preserve">ממא:
מזה כמה שנים כבר הובן שחשיבותם של נושאים אקולוגיים אינה נובעת מפילנתרופיה של המין האנוש׳ אלא מתוך הצורך של המין האנושי לחי1ת ח״ם נוחים. התדרדרות המצב הסביבתי של כדור הארץ, אינם מעלים דאגה לשלומ1 של כדור הארץ אלא לשלום המין האנוש׳ עלי1. אי לכך, יש לנ1 כבני אדם, אינטרס להיות ידידותיים לסביבה (-ידידותיים לעצמנו). משמעות הדבר, בין היתר, היא להשתמש באנרגיה חלופית לדלק המא1בנים שהולך ואוזל תוך כדי השארת נזק סביבתי אדיר ובמקביל לנסות ולחסוך באנרגיה הנצרכת.
לאחחנה הובן בקרב אנשי חינוך שאת הדור המב1גר קשה יהיה לחנך לשינויים מהותיים בהרגלי צריכה, יחד עם זאת, יש חשיבות בחינוך הדור הצעיר שההרגלים "הרעים" טרם דבקו בו. מערכת החינוך בעולם, ואף בישראל כבר־ הכניסה למסלול הלימודים שיעורים הקשורים לאיכות הסביבה, החל מהבנת תהליכים ומגמ1ת וכלה באפשחיות שלם כבני אדם לעצור את התדרדרות המצב האקול1גי על ידי מיחזור, הקטנת צריכת החשמל ועוד 1עוד. ילדים החל מגיל בית הספר היסודי עושים עבודות-בית על תהליך המחזור וילדים בתיכ1ן נבחנים בבגרות על נושאים אקולוגים.
אך מה קורה בדרך מבית הספר היסוד׳ לתיכון? באיזה סביבה ילדים אלה חיים ולומדים? האם ניתן בכלל לחנך ילדים לחסוך באנרגיה כשהם יושבים בכיתה הפונה למזרח שהוילונות בה מוגפים רוב שעות הבוקר והתא1רה דולקת רוב שעות היום? כשהילדים יושבים במעילים בחורף ומנפנפים במחברות בחודשים החמים? או לחלופין, כשצריך להפעיל את המזגן שהותקן בה לאורך כל השנה? האם ילדים יכולים בכלל ללמוד בנוחות ולהיות מרוכזים לאורך כל ששת הלימודים בתנאים כאלה? לאחרונה הובן שלא! בימים אלה, יזם המכון לפיתוח מבני חינוך ורווחה תחרות של עשרה בתי ספר ברחבי הארץ, שהתכנון שלהם מתחשב בשיקולי סביבה ואקלים ונעשה במשותף עם אדריכל ויועץ סביבתי.
הניסיון לתכנן בתי ספר עם מודע1ת אקלימית-אנרגטית תופס את המתכננים ללא כלים בדוקים או המלצות ברורות. המלצות כללי1ת קיימות לגבי מבנים מסוימים א1לם לבית הספר צרכים מאוד מוגדרים, והגמישות בו קטנה. המצב שבו יושבים 40 ילדים בשטח של 50 מ״ר לאורך חלק נכבד משעות היום שלהם, יוצר מצב ייחוד׳, השונה מבניינים אחרים ודורש התייחסות מיוחדת. כמ1 כן, למרות שמדינת ישראל הינה קטנה יחסית, הבדלי האקלים בה גדולים ועל ההמלצ1ת השונות להיבדק כנגד נתוני האקלים באזור בו מתכננים.
לאור זאת בחרתי לער1ך מחקר שיהווה בסיס לפיתוח קווים מנחים לבתי ספר חדשים. מקוצר היריעה, התמקדתי בבדיקת המלצות אקלימיות-אנרגטיות לתכנון בתי ספר באקלים החם והלח של רצועת החוף, אולם לצורך יצירת תמונה כוללת לתכנון בתי ספר מודעים לאקלים ואנרגיה בארץ, יש להשלים את המחקר לשאר אזורי האקלים.
</t>
  </si>
  <si>
    <t>החלפת ו' 1</t>
  </si>
  <si>
    <t xml:space="preserve">הקיימים במקום, מדגיש אותם, מחזק אותם והופך אותם נגישים לקהל המשתמשים - וכן מוסף נכסים חדשים לעיר, ובכך משתלב באופן מחודש בתוך המרקם ההסטורי.
היבטים כלכליים בתכנון הוא עקרון שחשוב לתכנן לאורו, אולם בכדי לפרוט ערך אבסטרקטי זה למעשים נוצרה התבנית יתרונות ליצרן. תבנית זו, המשמשת גם היא כ״תבנית על" נוגעת בהיבט הכלכלי ומתיחסת לנושא של פיתוח כלכלי כמנוף לתהליכים אחרים : פיתוח פיזי, ארכיטקטוני, תרבותי וחברתי. התבנית מנסה להעניק יתרונות למקום, כדי למשוך אליו את היצרנים.
9.3.2 חברה
על פי כרמון (מתוך ישראל 2020 תכנית אב לישראל, 1997), מסתמנות כיום שתי מגמות על עולמיות, בעלות השפעה מכרעת על כל הבטי אורח החיים במדינות במפותחות שבעולם, כולל ישראל. המגמה הראשונה היא עליית חשיבותו של הפרט, עצמאותו, כבודו וזכויותיו, כולל הזכות לבחור באורח החיים הרצוי לו. המגמה השניה היא המעבר מעידן של "או/או" לעידן של "גם וגם", כלומר מגוון אפשרויות בחירה באופן השמירה על הדת והמסורת, מדיניות "הזמן הגמיש" המאפשרת לעבוד גם בשעות לא מקובלות, ומדיניות "המיקום הגמיש" המאפשרת לעבוד במקומות מגוונים (בית, משרד).
מגמות התפתחות ושינוי מצביעות על התעוררות נכרת של זהויות מקומיות ולהתחדשות תחושות של שייכות אתנית - מקומית, כאשר אותן ישויות אתניות תובעות לעצמן מרחב טריטוריאלי מוגדר לשליטה עצמית. מגמה בדלנית זו מתקיימת בד בבד עם הנטייה הבולטת לגלובליזציה בתחומי הכלכלה, הטכנולוגיה והמדיה.
העיר הפוסט מודרניסטית כוללת בתוכה מלבד כלכלה חדשה גם חברה חדשה. החברה החדשה מתאפיינת במעבר מחברה מסורתית המגובשת סביב מכנה משותף תרבותי מקומי, לחברה רב תרבותית, רב לאומית החוצה גבולות גיאוגרפיים. עפ״י 1996) Castells), החברה החדשה היא חברה "מרושתת", המורכבת מקהילות רבות שאינן נמצאות בהכרח בסמיכות גיאוגרפית. הרשת היא מערכת של מוקדים, שהמרחק הפיזי, חברתי, כלכלי, פוליטי ותרבותי בינהם - מתגמד לנוכח טכנולוגית המידע, המאפשרת קיצור מרחקים באופן משמעותי.
כרמיו (מתוך ישראל 2020 תכנית אב לישראל, 1997) טוענת כי, למרות הגלובליזציה בתחומים רבים, הזהות האתנית־דתית בישראל תמשיך להיות דומיננטית. מעבר לכל, תתקיים גם דואליות תרבותית, כאשר מצד אחד מתחזקת מגמה של השתתפות בזרמים הבינלאומיים הנפוצים, ומצד שני מתקיים מאמץ ניכר לטיפוח התרבות המקומית.
סולמות הערכים המקובלים בחברה משפיעים על דפוסי הצריכה של אזרחיה, בינהם צריכת דיור, אמצעי תחבורה, שטחים פתוחים ושרותים חברתיים וציבוריים. התחזקותם של ערכים הדוניסטיים בחברה הישראלית, כפי שניתן לראות בחברות מפותחות אחרות, מופיעה יחד עם
82
</t>
  </si>
  <si>
    <t xml:space="preserve">אולם, כבר בשנות ה-60 המוקדמות ניתן היה לראות כי המודל האוטופי של יצירת שכונות המופרדות ע״י שטחים ירוקים לא צלח, בעיקר באזורים המדבריים בארץ. עלויות הבנייה היו גבוהות, והמרחבים הגדולים שבין הבתים נותרו ריקים (שדר ואוקסמן, 2003). כפועל יוצא מציפוף הבנייה בכל הארץ, צופפה גם הבנייה בשכונות החדשות בנתיבות החל משנות ה-60 המאוחרות. הבתים שניבנו היו בעיקר מבנים טוריים בני 3-4 קומות (ראו איור מסי 4.2) שרוכזו ברובם בצפון העיר ובמערבה. מבנים אלה לקו באחידות ובקשיחות מבנית. הדירות היו קטנות בשטחן כ- 24- 36 מ״ר (שדר, 2000). חלליהן הופרדו בהתאם לסטנדרטים מערביים של יעילות ופונקציונאליות. מבנה הדירה לא התייחס לצרכים תרבותיים ייחודיים של הדיירים. יחידת הדיור אמורה הייתה להציע פתרונות אכסון בלבד (לו-יון, קלוש, 2000). קשיים אלה עודדו דיירים בעלי יכולת כלכלית לעזוב את השכונות (היל, 1979).
</t>
  </si>
  <si>
    <t xml:space="preserve">אדריכלי
4.1	חכרת הנבט האנגלו-איראנית. ראשית הדרד - אנאדאן; נ?ודת מגט השוואתית לתעשיית הזיקו? כמרחב חיכה
העיר אבאדאן שוכנת בדרום־מערב איראן. הישוב המודרני המוקדם נוסד ב-1910 לאחר שנתגלתה כשנתיים קודם לכן כמות נפט משמעותית בגבעות שבדרום מערב פרס. ב-1909, כשנה לאחר גילוי בארות הנפט הוקמה חברת הנפט האנגלו-פרסית (A.P.O.C). אנשי החברה תרו אחר מיקום מתאים להקמת בית זיקוק שישלב אפשרות להקמת נמל מוגן ומזעור אורך הצינור בינו לבין בארות הנפט. שנתיים נוספות חלפו עד שהושלמה הנחת צינור בין הבארות לבין האי אבאדאן, אי ארוך וצר השוכן לאורך נהר השאט-אל-ערב (התמזגות הפרת והחידקל). המיקום שנבחר בצפון האי התאים להקמת הנמל על חוף נתיב השיט (שאט-אל-ערב), ונקבע קרוב ככל האפשר למקורות הנפט. אורך הצינור היה 130 מייל.
הדיון באבאדאן לא רק מרחיב את היריעה למקומות רחוקים ולראשית דרכה של חברת הנפט, במקרים רבים תשמש העיר נקודת תצפית טובה למתחם שבחיפה. הניסיון הכולל של הבריטים בזיקוק נפט במזרח התיכון החל באבאדאן כ-28 שנים טרם הקמת בתי הזיקוק בחיפה. לתהליך ההקמה של שניהם נלוו תכולות דומות : צינור נפט, מיכלי אחסון, טרמינל ימי, מפעל זיקוק ותשתיות תומכות - מגורים ומבני ציבור, אם כי בהיקף שונה. בזמן שהוקם, לא היה בית הזיקוק באיראן גדול מזה שלימים יוקם בפלשתינה אך תוך שלושה עשורים הפך לבית הזיקוק הגדול בעולם. ככזה הוא זכה לתיעוד נרחב ומהתבוננות בו ניתן לדלות פרטים המסייעים להשלמת סיפורו של המפעל בחיפה. חברת הנפט הגיעה לחיפה (כתאגיד משנה - .C.R.L) למודת ניסיון והתמודדה עם פרויקט קטן בסדר גודל מזה שכבר פעל באיראן.
אבאדאן נהנתה מפיתוח תעשייתי ועירוני מואצים שהחלו בחסות בריטית בעשור השני של המאה ה-20. הקמת העיר וגידולה עד אמצע המאה הושתתו על טהרת תעשיית הזיקוק כך שמתאפשרת הסתכלות "נקייה" על היבטים בתפיסה הבריטית לפיתוח עיר "מודל" תעשייתית רחוק מלב האימפריה. בין השנים 1920-1951, העיר מתוארת כמקבץ של צורות אורבאניות שהתגבשו סביב למפעל הזיקוק
[1997 ,Crinson]. קרוב לעשרים שנים סיפקה החברה תנאי דיור מועדפים רק לבכירים - מרביתם אירופאים בעוד אלפי העובדים המקומיים גרו באזורים צפופים רוויים בבניה מדברית מסורתית. בתחילת שנות השלושים של המאה הבינה החברה כי התעלמות מיחסי המעמדות החברתיים בעיר תגרום להתלקחות. יש לזכור שהחברה פעלה באיראן תחת זיכיון (1901) ולא בחסות שלטון וצבא בריטיים. היא ניסתה להימנע בכל מחיר מעימות עם האוכלוסייה המקומית ועם טהראן. משהבינה את חלקה בניכור שנוצר החל שיתוף פעולה עם מתכננים מקצועיים על מנת לשפר את תנאי המחייה וליצור לפחות למראית עין אינטגרציה בין האוכלוסיות. החברה שכרה את שרותיו של גייימס מוליסון וילסון(James Mollison
</t>
  </si>
  <si>
    <t>טעויות זיהוי בכותרת. כתב עבה</t>
  </si>
  <si>
    <t xml:space="preserve">ה. מסקנות ודיון
המסקנות הנגזרות מעבודה זו הן בשני תחומים עיקריים.
ה.1. השימוש בבוסטר
השימוש של ילדים ממשקל 18 ק״ג ועד גובה 1.45 (גילאי 4-9 לערך) בבוסטר בעת הנסיעה מפחית את הסיכוי לפגיעות חמורות בזמן תאונה. מעבר מוקדם מדי לבוסטר אינו מומלץ מכיוון שמושבי הבטיחות מותאמים לטווח מסוים של גדלים ומשקלים ועדיף להיצמד להמלצות היצרנים. כמו¬כן, מעבר מוקדם מדי לישיבה ברכב ללא בוסטר, ועם חגורות בטיחות בלבד, עלול לגרום לפגיעות מסוג סימפטום חגורת הבטיחות. למרות זאת, משפחות רבות - הורים וילדים - אינם מקפידים על משך השימוש, בין אם מחוסר ידע לגבי התקופה המומלצת ובין אם מסיבות אחרות כגון התנגדות הילדים וויתור ההורים.
ה.2. עיצוב מוצר חדשני
אנשים רבים אינם מתנגדים לנסיעה בטוחה, אך חסר להם ידע לגבי האמצעים לפעול כך. כאשר מספקים לאוכלוסיה מידע זמין, גוברת הנכונות לאמץ את ההתנהגות הבטוחה.
מתן מוצר מוגמר המספק מידע עשוי לשפר את השימוש בבוסטרים תוך כדי שיתוף הילדים והתגברות על מחסומים התנהגותיים של ילדים ברכב. שיתוף ילדים בעיצוב המוצר תרם להתאמתו לשימוש ע״י הילדים, ללא יצירת רתיעה של ההורים מהמוצר. השימוש במוצר עשוי להתחזק במיוחד אם המוצר יינתן במתנה לרוכשי רכב או רוכשי בוסטרים. במקרה כזה, זמינות המידע משתלבת עם הנעימות שבקבלת מתנה.
פרויקט עיצובי-מחקרי שתואר בעבודה זו הינו המשך לעבודות מחקריות המראות היפגעות ילדים בגילאי 4-9 בתאונות דרכים בגלל אי-שימוש בבוסטר ככלי בטיחותי במהלך נסיעות במכונית. עבודות מחקריות אלה מראות את ירידת השימוש בבוסטר בטרם עת, וכן מראים כי ירידת השימוש נובעת מחוסר מידע של ההורים והילדים לגבי תקופת השימוש המומלצת בבוסטר. בנוסף, המחקרים המצוטטים בעבודה הראו חוסר ידע של הנהג לגבי יעילות הבוסטר (,Ramsey 2000 ,Simpson &amp; Rivara, וגם 2003 ,Ebel, Koepsell, Bennet &amp; Rivara). מחקרים נוספים הראו
Rivara, Bennett, Crispin, Kruger, Ebel &amp; ) אי ידיעה לגבי טווח הגילאים לשימוש בבוסטר
2001 ,Sarewitz) וכן תפיסות שגויות לגבי בטיחות והעדפות של הילדים לא לשבת בבוסטר (זיידל, 1995).
</t>
  </si>
  <si>
    <t xml:space="preserve">כיום, ישנן בהונגריה שפע הצעות ופעילויות למגזר הצועני, שלא נראה מעולם כדוגמתן. מספר גורמים אחראים לכך; נוכחות של כ-3,000 צוענים בחיים הציבוריים ברמה המקומית הודות למערכת ייצוג המיעוטים; עלייתה של אליטה ואינטליגנציה צוענית כמקור כוח לביצוע דרישות ויוזמות; התגברות שיתוף פעולה ברמה המקומית בין תומכים (צוענים ולא צוענים), איגודים, קהילות מקומיות ושירותים ציבוריים; ונטייה הולכת וגוברת למערכות יחסים בין תרבותיות בין צוענים ובין לא צוענים הניכרת בעיקר בקרב הדור הצעיר (2000 ,Rosenberg). כל אלו התפתחו בעקבות הקמת מועצות המיעוטים.
החוק קבע שמועצות המיעוטים העצמיות המקומיות צריכות להיות מנוהלות ע"י המיעוטים עצמם. הצוענים ראו בכך הזדמנות היסטורית ראשונה לנהל את מוסדות סטאטוטוריים משלהם. מאז 1993, הממשלה, יחד עם המשרד למיעוטים לאומיים ואתניים ולארגונים אזרחיים, סיפקו סיוע על מנת להכשיר חברים בקהילה לעבודה בשירות הציבור (1997 ,Pariadka) .
למועצות המיעוטים המקומיות אין את הסמכות שיש לרשויות הרגילות, אולם יש להן סמכויות ייעוץ נרחבות. למועצות המיעוטים המקומיות יש זכות הסכמה בנושאים של חינוך ממלכתי, תקשורת מקומית, ושימור המסורת, התרבות ושימוש בשפה. הכוונה בהקמת מערכות כאלה היא לאפשר לצוענים להביע את עמדתם באופן רשמי, דרך מוסדות המוכרים על ידי השילטון ההונגרי. בקול כזה יש להתחשב בעת תהליך הגיבוש של מדיניות המיועדת לשילוב של הצוענים בחברה וביישומה (2002 ,Swenden &amp; Vermeersch).
הודות להכרה בצוענים כמיעוט לאומי, נרשמה הצלחה רבה בשכנוע מפלגות גדולות לפעול למען קידום הצוענים, וכן בקידום מפלגות צועניות (2002 ,Swenden &amp; Vermeersch). משמעות השינוי היא שהצוענים משפיעים על קביעת המדיניות כיועצים, וגם ממלאים תפקידים חשובים במוסדות בהם נקבעת המדיניות. לטענת ברני (1994 ,Barany) שינויים אלו מהווים צעד גדול לעבר עמדה לגיטימית בחברה ההונגרית. שיפור כזה בהערכת הציבור את הצוענים ניכר בהונגריה מאז שנות האלפיים, עם אחוז גבוה יותר מן האזרחים המבטא עמדות סובלניות יותר כלפיהם
.(Swenden &amp; Vermeersch, 2002)
למועצות מיעוטים עצמאיות יש השפעה חיובית על הדימוי העצמי של הצוענים, ועל דימויים בעיני הרוב (1997 ,Pariadka). בעיני הצוענים הקמת מועצות המיעוטים הוא הישג, שנובע מן המאבקים על זכויותיהם. החוק מחזק את התחושה שבאמצעות המאבק הם משפרים את עמדתם מול השילטון הפורמאלי. מנקודת מבטו של הרוב, הקמת המועצות מכתיבה שיטת עבודה משותפת, שיכולה להביא להבנה הדדית טובה יותר, ולפיתוח קשרים ברמה הפוליטית והאישית.
חסרונות החוק
בעיות בסמכויות שהחוק מעניק
למועצות המיעוטים המקומיות אין זכות הצבעה ברשויות המקומיות. סעיף 29 בחוק המיעוטים קובע כי בנושאים הקשורים לחינוך הממלכתי, לתקשורת, לתרבות ולשפה המקומיים, ההחלטות יכולות להתקבל רק בהסכמת מועצת המיעוטים העצמית המקומית, אולם אין עזרים חוקיים יעילים במקרים שבהם המועצות אינן עושות זאת. כאשר מועצות המיעוטים העצמיות המקומיות מתנגדות לפעולות המועצות המקומיות, הן יכולות להגיש עתירה להנהלת המחוז kozigazgatasi) hivatal), כמו כל אזרח אחר. אולם, על פי חלוקת הכוחות, משרד זה הינו בלתי יעיל בדרך כלל במאבק נגד חקיקה מקומית (2001 ,.(Cahn
יש הטוענים כי הרעיון של מועצות מיעוטים מקומיות אינו נוגע לזכות תרבותית אלא להכשרה בהשתתפות אזרחית. אולם, יהיה רעיון זה מושך ככל שיהיה, לא ברור עד מתי ההנהגה הצוענית תקבל את הגרסה המצומצמת של ההשתתפות הפוליטית המתאפשרת על ידי חוק המיעוטים. נראה
</t>
  </si>
  <si>
    <t xml:space="preserve">שערכו, עלה כי למשימה קיימת חשיבות קריטית בבחירת סוג התצוגה. במידה והגרף תוכנן לסייע באופן ישיר לביצוע המשימה, אזי יש עדיפות לגרף במהירות התגובה, במהירות קבלת החלטות ובהפחתת עומס אינפורמציה על-ידי יצירת תבנית ויזואלית. בהמשך לכך, משימה מסוג זיהוי תבנית מגמה של סוג בדיקת מעבדה אחד, אינה מותאמת לתצוגה האינטגרטיבית שבניסוי המורכב מפוליגון של מספר בדיקות. בעוד שלשתי סוגי התצוגות האחרות קימת משימה אחת לפחות שמאפיינת ומותאמת לסוג התצוגה, בדומה לממצאיהם של .68] Wickens &amp; Carswell .[43] Benbasat, et al], התיחסו למושג עקרון "הקרבה בהתאמה" (PCP -Proximity Compatibility Principle), עיקרון זה מבחין בין שני מושגים עיקריים: קירבה של משימה וקירבה של תצוגה. קירבה של משימה, מתייחסת לאופן בו ניתן להשתמש בפיסת מידע כדי לבצע משימה. למשל, קירבה של משימה נחשבת לגבוהה, כאשר יש לשלב כמה פיסות מידע כדי לבצע משימה. בעוד שקירבה של משימה נמוכה, מיוחסת לעיבוד של פיסת מידע אחת מכל המידע. חלוקה זו לקרבה גבוהה ולקרבה נמוכה, קשורה לאופן חלוקת המשאבים של קשב (ראה נספח, סעיף 8.1.3, עמ' 75) וזיכרון עבודה (ראה נספח, סעיף 8.1.4.1, עמ' 76) בין האלמנטים השונים. לכן, עבור קירבה גבוהה של משימה יש להתאים קירבה גבוהה של תצוגה (אינטגרטיבית) ועבור קירבה נמוכה של משימה יש להתאים קירבה נמוכה של תצוגה (גרף מופרד).
על פי הסבר זה, ניתן לטעון שבין שלושת סוגי המשימות הייתה יותר התאמה לתצוגת העמודות ולתצוגה הטבלאית (הטבלה מתאימה למשימה "סימבולית" של זיהוי נתון מסוים בזמן מוגדר ואילו גרף העמודות שבניסוי, נחשב בבסיסו לגרף מופרד, אך בדומה לגרף נקודות הנחשב לגרף אינטגרטיבי, גם הוא מספיק מתאים למשימה מן הסוג של זיהוי תבנית מגמה, באופן שניתן לחבר קו דמיוני בין העמודות), בעוד שבתצוגה האינטגרטיבית שבניסוי פעל פחות עיקרון הקרבה בהתאמה. אמנם התצוגה האינטגרטיבית שבניסוי נחשבת לתצוגה מקרבה גבוהה, אך המשימות לא עשו שימוש באינטגרציה של כל גרף. המשימה הראשונה התייחסה לגרף אחד, בעוד ששתי המשימות האחרות דרשו השוואה בין שני גרפים לפחות, אשר המרחקים ביניהם היו ארוכים יותר מהמרחקים שבתצוגות האחרות. לעומת זאת, בתצוגת העמודות ההשוואה נעשתה בתוך אותו גרף ובתצוגה הטבלאית, הערכים נמצאו במרחקים זהים קצרים ועקביים. הגדרה זו שמה באור אחר את התצוגה האינטגרטיבית, אשר למרות אי ההתאמה היחסית בשני סוגי המשימות הראשונות, גשרה על הפער הראשוני שהתבטא בפחות קירבה בהתאמה למשימות.
7.1.2 דיוק – השוואה בין שלושת התצוגות במספר השגיאות
מבחינת דיוק, לא נמצאו הבדלים מובהקים בין שלושת התצוגות. 50% מהמשתתפים לא טעו כלל. 30% מהמשתתפים דייקו ב-97% מהשאלות, 13% מהמשתתפים דייקו ב-93.3% מהשאלות, 3.3% דייקו ב–90% מהשאלות, 3.3% דייקו ב-87% מהשאלות.
מעניין לציין, כי במשימה מסוג זיהוי נתון מסוים בזמן מוגדר בשלושת התצוגות, נמצא מספר רב יותר של שגיאות. 83.3% מכלל השגיאות בתצוגה הטבלאית היו במשימה זו, 100% מכלל השגיאות בתצוגת העמודות היו במשימה זו ו–6.6% מכלל השגיאות בתצוגה האינטגרטיבית היו במשימה זו.
במשימה מסוג זיהוי נתון מקסימאלי או מינימאלי, 15.3% מכלל השגיאות בתצוגה הטבלאית היו במשימה זו, בתצוגת העמודות לא נמצאו כלל שגיאות ובתצוגה האינטגרטיבית 20% מכלל השגיאות היו במשימה זו. במשימה מסוג זיהוי תבנית מגמה, רק בתצוגה האינטגרטיבית נמצאו 12.3% שגיאות מכלל השגיאות במשימה זו.
62
</t>
  </si>
  <si>
    <t xml:space="preserve">יש לייסד מאגר אתרי□ ממלכתי תחת כותרת אחת. רשימות השימור העירוניות והאזוריות יזינו מאגר זה.יש לתת תוקף סטאטוטורי לרשימות אילו.
אלו מסקנות הועדות (זיילר ובר לב) ומבקר המדינה.
ברוח הריכוזיות, לדעתי, יש לאמץ את המודל של תל אביב.לכל עיר תתוכנן תכנית מתאר לשימור שתתווה כללי יסוד להגנה על מבנים ומתחמי□ לשימור עוד לפני תכנון תבע״ות מפורטות .
יש להכין מאגר תיעוד מפורט לנכסים הנמצאים ברשימת השימור ברמה העירוניתזאזורית. התיעוד יוכן (על פי קריטריונים ארציים) על ידי גופים ממלכתיים או על ידי בעלי עניין.
לכל מתחם המיועד לשימור תוכן תב״ע מפורטת עם הוראות הן לגבי שימור והן לגבי פיתוח, אשר תחליף את הוראות התב״ע ותכנית המתאר החלות במקום. תב״ע זאת תיתן משנה תוקף למעמד מתחמים אילו .לגבי מבנים בודדים יחולו כללי תכנית המתאר העירונית לשימור.
מערכת כלכלית:
תמיכה ממלכתית: בישראל, התמיכה הממלכתית בשימור היא תמיכה עקיפה על ידי מתן הקלות במיסים ובאגרות הקשורות לבנייה ולשימור. כמו כן לעיתים מפוצה בעל הנכס על ידי אחוזי בנייה נוספים במקום או במגרש חלופי.
לישראל, לפי המלצת מבקר המדינה, דרושים כלי מימון ממשלתיים ישירים, כמקובל במדינות אירופה וארה״ב.בין כלים אילו הדו״ח מציין : מיסוי ייעודי, הלוואות ומענקים לפרויקטים (פרסומיים ומעשיים).
תמיכה חצי ציבורית: תמיכה כזו תבוא דרך קרן -גג לשימור (מדמי חברות ומגיוס תרומות לקרן) וממפעלים לאומיים, דוגמת מפעל הפיס .
תמיכהפרטית: יוקמו גופים פרטיים ועמותות המכוונות לפרויקט מסוים שימצאו מימון לפרויקטים פרטיים שאין למדינה סיבה או יכולת לממן.
7.9	מסקנות והמלצות, שדרות הנדיב
יש לבצע סקר מקיף (היסטורי ופיסי) על המתחם כולו ועל כל בניין בנפרד שישמש מאגר רקע לתכנון כולל של המתחם ולשימוש מתכננים ויזמים לתכנון פרטני של כל מבנה במתחם שישמש כמאגר רקע לתכנון כולל של המתחם ולשימוש מתכננים ויזמים לתכנון פרטני לגבי כל מבנה בנפרד.
יש להכין תכנית תב״ע מפורטת לשימור ופיתוח שתטפל הן באספקטים של שימור המבנים והשדרה והן באספקטים של פיתוח: הריסה ותוספות בניה ושיקום־חידוש תשתיות הרחוב.
במסגרת הכללים לבנייה חדשה ראיתי לנכון להציע שינוי בשיטת תכנון בנייה חדשה.
השיטה המקובלת כיום מתבססת על מסגרת אחוזי בנייה וקווי בניין, אך פתוחה גם להקלות וחריגות בעניינים שונים.
השיטה שהוצעה במסגרת בחינת מקרה המחקר מבקשת לקבוע מעטפת נפח לכל בניין שאין חריגה ממנה. הבנייה עדיין תתבצע על פי אחוזי בנייה וקווי בניין אך אלו כמו גם המעטפת יגבילו זה את זה הדדית ויתנו מענה טוב יותר מבחינה עיצובית לתכנון נפחי הבנייה החדשה בהתאם לכללי עיצוב שייקבעו למתחם.
121
</t>
  </si>
  <si>
    <t xml:space="preserve">פרק 4. ניסוי מדגמי בהרכבת מוצרי 'עשה-זאת-בעצמך'
ניסוי מדגמי בהרכבה, למטרת זיהוי והגדרה של מאפייני ידידותיות למשתמש (ניסוי מס' 2.)
במסגרת התזה נערך מחקר ראשוני (Pilot) שמטרתו לבודד ולאבחן את המשתנים אשר גורמים לקשיים בהתמודדותם של אנשים שונים עם מטלת הרכבה של מוצר 'עשה-זאת-בעצמך', זאת במטרה לצבור מאגר ידע מעשי אשר יהווה, באינטראקציה עם חומר ידע נצבר ממקורות ספרותיים את הבסיס לזיהוי והגדרה של מאפייני ידידותיות למשתמש במוצרים הללו. לשם כך נערך ניסוי בהרכבת מספר מוצרים. מהלך הניסוי הכיל תצפיות על תהליך ההרכבה של המוצרים, החל משלב ההתמודדות עם חוברת הנחיות ההרכבה, הוצאת המוצר מאריזתו וההרכבה עצמה. ההרכבה בוצעה על ידי מספר משתמשים, ביניהם בעלי ניסיון בסוג זה של פעילות וכאלה שזוהי להם הפעם הראשונה בה הם פוגשים מוצר להרכבה עצמית.
4.1	תיאור הניסוי
לצורך הניסוי נבחרו חמישה מוצרים (פשוטים יחסית): ארגז אחסון מחומר פלסטי (שני דגמים), שידת עץ לטלוויזיה, כסא משרדי ומחסן גינה קטן. המוצרים הללו (מלבד מחסן הגינה), הוגשו למשתמשים באריזתם המקורית הכוללת את הנחיות ההרכבה המסופקות על ידי היצרן. הנבדקים נתבקשו להרכיב את המוצרים הללו ובמהלך ההרכבה, לתאר בקול את העשייה, וכן לומר בקול את מחשבות וקשיים בהם הם נתקלים בעת ההרכבה. בעת ההרכבה נרשם פרוטוקול מילולי אשר סייע בניתוח הקשיים בהם נתקלו הנבדקים.
בתצפית נבדקו ההיבטים הבאים:
•	דרך פתיחת האריזה ושליפת האלמנטים מתוכה
•	הדרך בה ניגש/ה הנבדק/ת אל המוצר, כיצד התחיל/ה את ההרכבה (האם הקדים בקריאת ההנחיות, או לחילופין באיזה שלב נעזר/ה בהן)
•	מהו היחס בין פעולות 'סרק' לבין פעולות אפקטיביות התורמות לתהליך ההרכבה
•	מה הם הקשיים ומאיזה סוג, בהם נתקל/ה הנבדק/ת בעת ההרכבה
•	מה הן נקודות החולשה בהיבטים התכנוניים של המוצר, בהקשר לבחירת חומר הגלם, שיטות החיבור,
סוגי המחברים, קריאות האלמנטים והתאמה בין החלקים לבין הנחיות ההרכבה
4.1.1	נקודות לצפייה במהלך ההרכבה
בנוסף להיבטים הנ"ל, נצפו במהלך ההרכבה הנקודות הבאות:
•	סדר פעולות הנבדק בעת פתיחת האריזה ושליפת הרכיבים מתוכה.
•	באיזה אופן והיכן מניח הנבדק את הרכיבים השונים לאחר פתיחת האריזה, ועל פי איזה סדר.
•	כיצד הנבדק ניגש להנחיות ההרכבה, באיזה שלב בתהליך הוא מעיין בהן, וכן רמת המובנות של ההנחיות
(כולל אייקונים וסמלים)
•	אופן ההתייחסות להוראות ההרכבה- הבנתן, הנכונות והיכולת לבצע את ההרכבה באופן עקבי להנחיות.
•	באיזה אופן, ובאיזו אוריינטציה מתחיל תהליך ההרכבה, וכיצד מתמודד הנבדק עם כיווניות האלמנטים ביחס לספרות וביחס למצאי בשטח.
•	אופי וסדר הפעולות 'מסביב' להרכבה עצמה- היעזרות בגורמים נוספים (כלי עבודה, אנשים נוספים, אביזרים שונים).
52
</t>
  </si>
  <si>
    <t xml:space="preserve">בעוד שבתמ״מ 14/4 מדובר רק על תשריט ייעודי הקרקע הכלול בקטגוריה זו, בתמ״מ 6 ובתמ״א 35 מדובר על מספר תשריטים ועוד מספר נספחים מחייבים. ניתן לומר שמגוון המסמכים משפיע לטובה על מספר המדדים הסביבתיים המצויים בקטגוריה זו. בולטת בכך היא תמ״מ 6, בה מגוון המסמכים הוא הרחב ביותר וכולל, מלבד תשריט ייעודי הקרקע, גם תשריט הנחיות סביבתיות, תשריט תשתיות, תשריט תחבורה, נספח "יעדי צפיפות לפיתוח יישובים" ונספח "רשימת אתרים לשימור ואתרים לאומיים". ואכן, זוהי התכנית הכוללת את מגוון הסוגיות הסביבתיות הרחב ביותר בקטגוריה זו.
התפלגות המדדים בתכניות
התפלגות אזכורם של המדדים השונים בנספחים והתשריטים הסטטוטוריים של התכניות במחקר, מלמדת כי מספר רב של מדדים איננו מאוזכר כלל בסוג זה של מסמכים (34 מדדים, כלומר כ-45% מן המדדים במחקר). גם פה, בדומה לנספחים והתשריטים הלא-סטטוטוריים, רוב המדדים, כ-73%, מאוזכרים רק בשתי תכניות או פחות.
מדדים נפוצים
בדיקה של המדדים אשר באים לידי ביטוי בשש תכניות מתוך שבע התכניות במחקר (מידת האזכור הגבוהה ביותר בקטגוריה זו של סוגי מסמכים) מראה כי מדובר בשלושת המדדים הבאים:
1.	מזעור הגריעה/שמירה של שטחים פתוחים בעלי ערכיות סביבתית גבוהה;
2.	מניעת היווצרות רצפים אורבאניים;
3.	שימור הנוף החקלאי-כפרי.
106
</t>
  </si>
  <si>
    <t xml:space="preserve">2.3	שיטת המחקר
"חוקרים איכותניים משתמשים במגווןדרכים לאיסוף מידע ומצליבים זוויות ראייה (למשל באמצעות ראיונות, תצפיות ומסמכים) בתקווה שיבינו טוב יותר את נושא המחקר. כל אחת מדרכי המחקר האיכותני משקפת את העולם באופן אחר. והשימוש בכמה דרכים מעיד על כוונת החוקר לתת לנשוא מחקרו יותר מפרשנות אחת. המגוון מאפשר להציג בו זמנית ריבוי של מציאויות" (צבר-בן יהושע, 2006 עמ' 15).
להלן תרשים מהלך המחקר:
</t>
  </si>
  <si>
    <t xml:space="preserve">פרק 1: הצגת הנושא, מטרות המחקר ונהליו
1.1	הצגת הנושא - פינוי – בינוי
פינוי מבנים ישנים ובניית חדשים במקומם, בדרך כלל תוך הגדלה משמעותית של אחוזי הבנייה. מתבצע לרוב באזורים עירוניים מבונים בהם יש ביקוש גבוה לשטח רצפות חדש.
כמענה להתדרדרות מרכזי הערים, לתנודת התושבים אל הפרברים ותנופת הבנייה מחוץ למרכזי הערים, התפתחו בעולם כלים להתחדשות עירונית ובהם פינוי-בינוי וציפוף, במסגרת השטחים המבונים הקיימים. בפרט צפוי כי תוספת הבנייה באמצעות ציפוף המרקמים העירוניים תגרום להתחדשות המלאי הבנוי ותמנע התדרדרותן של שכונות מן ההיבט הפיסי והחברתי. ציפוף מרכזי הערים מסייע בשמירת שטחים פתוחים תוך מניעת בנייה חלופית על קרקעות פנויות מחוץ לערים ובשימוש יעיל של הקרקע, התשתיות ומוסדות הציבור. ההליך אינו כה פשוט. במערכת להתחדשות עירונית באמצעות פינוי בינוי מעורבים גורמים רבים, בעלי מניעים שונים, לעתים מנוגדים זה לזה. תכניות שונות של הממסד התכנוני שואפות ליצור תנאים המעודדים פעילות בשוק המקרקעין הכוללות בין השאר תוספת זכויות בנייה כגורם מניע לתהליכי ההתחדשות העירונית.1 יזם הנדל"ן הפרטי, הפועל מתוך שאיפה למיקסום רווחים, מקבל החלטה, עפ"י מפת הביקושים בשוק, היכן וכמה לבנות, כלומר, באילו אחוזי בניה, בכדי להביא את הרווח שלו למקסימום. כאשר מדובר בפיתוח מקרקעין בעתודות קרקע פנויות, קבלת ההחלטות על ידי יזם הנדל"ן חופשית הרבה יותר. אולם, במערכת עירונית קיימת, כאשר מדובר בפעילות מורכבת כגון פינוי מבנים קיימים ובניית חדשים במקומם, קרי "פינוי-בינוי", קיים ריבוי של מקבלי החלטות, התלויים אחד בשני.
•••••••••
לרוב בפרויקט פינוי-בינוי, מדובר באתר בנוי קיים אשר אינו ממצה את הפוטנציאל המקסימאלי שלו. כלומר, השימוש שנעשה בקרקע אינו Highest and Best Use – HBU . כמובן, ככל שהנדל"ן חדש יותר – ערכו גבוה יותר, שכן הצרכנים יהיו מוכנים לשלם מחיר גבוה יותר עבור
</t>
  </si>
  <si>
    <t xml:space="preserve">בנוסף מציין תא״ל (מיל') גולן: "דבר נוסף: גיבשנו תפיסות של סטנדרטיזציה בפתרון למחנות ומתקנים שונים, על מנת לתת צביון אחיד לפעילות מאותו סוג". אלמנט נוסף אותו מציין תא״ל גולן הוא פיתוח מערכת ימ"חים (יחידות מחסני חירום) בכל הארץ מבוססת על עקרונות תכנון סטנדרטיים תוך התאמת הפתרונות הקונקרטיים למיקום של כל מתקן ומתקן וזאת תוך גידול הכוחות המואץ מאוד של צה״ל. "יש לראות בזאת נקודת מפנה, מאחר שכמעט בכל השנים שלפני כן תכנון כל מחנה היה מותנה למקח וממכר עם מפקד המחנה, מרמת מח"ט, מג"ד ומטה, כאשר כל אחד היה בטוח שמה שהוא רוצה זה שיא השכלול, כל אחד הקים מתקן אחד בלבד".
מסכם תא"ל גולן: "ניסינו להכניס לפתרונות הכוללים את סה"כ הניסיון המצטבר, כניסה לסטנדרטיזציה מסוימת של מבנים ופתרונות תכנוניים, ייצור והזמנת מבנים וסככות בשיטה של ייצור תעשייתי, שכמובן גם קיצר את מועדי ההספקה וגם הוזיל את המחירים - עברנו במידה מסוימת לתיעוש אמיתי במבנים".
באיגרת מערך הבינוי 'יסודות הבינוי' (פברואר 2004), היוצאת לאור כפרסום פנימי של מרכז הביני אחת ל - 6-12 חודשים מזה כשנתיים, מצוינות ההגדרות הבאות:
'סטנדרט' - תקן, מתכונת, דוגמא קבועה ומסוכמת - במבנה, במשקל, כמות, באיכות וכדומה - שלפיה נעשו עניינים שונים.
'מבנה סטנדרט' - מבנה שתוכנן ונקבע במתכונת קבועה ומוסכמת ליעוד מוגדר (מתוך פקודות קבע אט"ל "מבנים סטנדרטיים" 3.016).
הסטנדרטים מבוססים על חוקים, תקנות, תקנים ישראליים וזרים, הנחיות תכנון והוראות מפקד מרכז הבינוי, 'המפרט הבינמשרדי לעבודות בנייה' ומפרטים מיוחדים.
בהמשך לדו"ח מבקר המדינה והנחיית סגן הרמטכ"ל לגיבוש סטנדרטים אחידים לבינוי בצה"ל, הוקם צוות בין-זרועי בראשות מרכז הבינוי ומטרתו גיבוש עבודות המטה לקביעת נורמות אחידות לבניה בכלל צה"ל בנושאי הבינוי המנהלתי. עם הצוות הבין-זרועי נמנים נציגים מאט"ל, מרכז הבינוי, חיל האוויר, חיל הים, החט"ל (החטיבה הטכנולוגית), אגף התקשוב ונציגי לקוחות נבחרים (חיל המודיעין, מפקדת זרוע היבשה ופיקוד העורף).
במסגרת הפעילות, גובשו תפיסות של סטנדרטיזציה בפתרונות למחנות ומתקנים שונים, על מנת לתת צביון אחיד לפעילות מאותו סוג.
מטרות הסטנדרטיזציה כפי שהוגדרו באיגרת מערך הבינוי - 'יסודות הבינוי' (פברואר 2004), הן:
•	הוזלת עלויות - יצירת כלי התקשרות אחידים לזרועות כדי להשיג יתרון כלכלי למערכת הביטחון בהתקשרויות (יתרון לגודל).
•	אחזקה - השגת שיפורים בהארכת מחזור החיים של רכיבי המבנה, וחוזי אחזקה משותפים.
41
</t>
  </si>
  <si>
    <t xml:space="preserve">איור מסי 2 מסכם את נקודת המבט של המחקר:
כפי שניתן לראות מן התרשים, המרחב הציבורי מכיל את הביטוי של ארבעה שדות :קיימות, תרבות הצריכה, חיי היום יום והתכנון העירוני, ואת הביטוי של מערכות היחסים בין שדות אלו (חצים צהובים). מערכות היחסים בין השדות השונים מאופיינות הן בקונפליקט (חיצים אדומים) והן בסינרגיה (חיצים כחולים).
הסתכלות על המרחב בתווך שבין ארבעת אלמנטים אלו יכולה להאיר ולפרש בדרך חדשה תהליכים ולתרום להבנה מעמיקה יותר של שדה המחקר ובכך לתרום גם להבנת פעולת התכנון, משמעויותיה והשפעותיה.
5.1.2.	מטרת המחקר
5.1.3.	מטרת המחקר המרכזית הינה לבחון כיצד המתח המושגי בין מטרות שיח הקיימות להשפעות תרבות הצריכה בא לידי ביטוי במרחב הציבורי.
שאלת המחקר המרכזית הינה:
כיצד המתח המושגי בין מטרות שיח הקיימות להשפעות תרבות הצריכה בא לידי ביטוי ברחוב שינקין בתל אביב-יפו, המעוצב על-ידי התכנון העירוני וחיי היום יום?
שאלות משנה למחקר הינן:
1.	כיצד פעולת התכנון משפיעה, אם בכלל, על ייצור המרחב כמרחב של קיימות אל מול השפעות תרבות הצריכה ואילו מגמות ותהליכים היא מקדמת?
49
</t>
  </si>
  <si>
    <t xml:space="preserve">המפגש בעבר, מציגות את התנהגות נקודת המפגש לאורך פרק זמן מוגדר. כמו כן מוקפת נקודת המפגש בעיגול המעיד על איכות המדד, זאת בהנחה כי קבוצות נבדקים שונות, ינותחו ע"פ מודלים שונים (ראה AFC), ולכל מודל יתכן ותהיה איכות ניבוי שונה.
חלק שמאלי (SYSTEM): מצב המערכת, קו בסיס, חישנים, מדד ביצוע אובייקטיבי.
חלק מרכזי (TYPE): סיווג הנבדק
חלק ימני (PERFORMANCE): רמת עקה, איכות ביצוע, אזור מפגש משותף. איכות הערכה (עיגול), מגמת ביצוע בירידה (סמן עבר מעיד על תנועה מאזור ירוק לאזור צהוב).
בדוגמה שלפנינו ( ציור מספר 27),מוצג נבדק הנמצא בעיצומו של ביצוע משימה, הנבדק מחובר לשלושה חישנים תקינים (FSR, EMG ,GSR), המערכת מודדת את ביצועי הנבדק באופן רציף ותקין (SCORE), המערכת בדקה וקבעה קו בסיס לנבדק. ע"פ מדדי המערכת שייך הנבדק לפלח אוכלוסיה A. הנבדק נמצא ברמת עומס ממוצעת (תצוגת STRESS), וברמת ביצוע מעט מתחת לממוצע. מפגש שני מדדי ביצוע אלו מעיד על רמת ביצוע בינונית, באיכות הערכה טובה (עיגול קטן), ובמגמת ירידה בביצועי הדקות האחרונות (קו הנקודות).
מיקום נקודת המפגש או מגמת התנועה שלו, יכולים להעיד על מאפייני ביצוע שונים של הנבדקים, כמו כן יעיד גודל העיגול סביב נקודת המפגש על איכות ההערכה, להלן מספר דוגמאות:
70
</t>
  </si>
  <si>
    <t xml:space="preserve">מאירהוף, ממנו מתחילה השדרה, בו ישנם גם ספסלים לישיבה ומרחב למשחקים או מוזיאון ההעפלה וחל הים ומוזיאון הימי הלאומי הנמצאים בקצה השני של השדרה,. אולם, המקומות האלו לא זכו להגדרת ׳מקום מיוחדי מבחינתן של המרואיינות, בעוד שהים והגינה הציבורית נבחרו על-ידי רבות מהן.
במסגרת השאלות הסגורות בשאלון המחקר הייתה התייחסות רק לשטחים פתוחים שבתוך גבולות השכונה. אולם כשנשאלה שאלה פתוחה, בחר חלק מן המשיבות להתייחס לשטח ציבורי פתוח שבקרבת השכונה, אך מחוץ לגבולותיה המוגדרים. במיוחד בלט הדבר בקרב הנשאלות בשכונת שער העלייה, בה חלק ניכר מהנחקרות התייחסו כאל גינה שכונתית לגינת ׳אלכס׳, שמבחינת חלוקה גיאו-סטטיסטית שייכת לשכונה אחרת; היא נמצאת על הכביש הראשי והגישה אליה מחייבת מעבר דרך כביש מרומזר. יתר על כן, כמחצית מהמרואיינות בשער העלייה בחרו בים כימקום מיוחדי בשכונה, וזאת למרות ששכונת שער העלייה מופרדת מהים באמצעות כביש ראשי, שבו שלושה נתיבים לכל כיוון והמעבר לחוף הים הוא מתחת לפסי רכבת ללא הפרדה בין כלי רכב להולכי רגל. כך גם 14% מהנחקרות בקרית אליעזר הצביעו על הים כאל ׳מקום מיוחדי בשכונה, כאשר מבחינת חלוקה רשמית של השכונות, חוף הים נמצא בשכונת בת גלים והמעבר אליו מקרית אליעזר ארוך ואינו נוח. מכאן ניתן ללמוד שבעת תכנון שכונתי יש לקחת בחשבון לא רק מקומות הנמצאים בתוך הגבולות המוגדרים של השכונה אלא יש להתייחס גם אל המקומות שמבחינת אוכלוסיית השכונה נמצאים בתוך המרחב ההתייחסות שלהם, למרות מבחינה רשמית הם מחוץ לשכונה. סביר להניח שבמקרה הזה יש חשיבות רבה לתפיסת הנגישות למקום. ניתן לשער, שיחסית לנגישות הים אל מקומות מגוריהן של המרואיינות בילדותן (בברית המועצות, לפני שעלו לארץ), הנגישות כעת סבירה ואולי טובה בעיניהן, גם אם בעיני מתכנן ישראלי המעבר אל הים נראה ארוך ובלתי בטיחותי.
- 76 -
</t>
  </si>
  <si>
    <t xml:space="preserve">עלולים להיות כבדים במיוחד עבור אוכלוסיות חלשות. הוא מציין את ההבדל בהתנהגות בין בעלי דירות לבין שוכרים, בהתייחס לכך שלדיירים בעלים תכונות חיוביות יותר מבחינת הקהילה.
המחקרים המוזכרים לעיל מצביעים על תרומתם החברתית והכלכלית של בעלי בתים לקהילה ויכולים להסביר את הכדאיות הציבורית הקיימת בהתערבות ממשלות לעידוד בעלות. עדיין, השאלה האמפירית בדבר הכדאיות הכלכלית-פיננסית לפרט של בעלות מול שכירות נשארת פתוחה.
2.2	מחקרים המתמקדים בהיבטים הכלכליים של בעלות מול שכירות
למרכיב הכלכלי קיימת כמובן חשיבות גדולה בקבלת ההחלטה על אופן האחזקה בדיור. (1993) Megbolugbe and Linneman מציינים כי באופן מסורתי, בעלות על דיור מזוהה כגורם עיקרי לרווחה כלכלית, הן ברמת הפרט והן ברמות השוק.
מחקרים תיאורטיים ואמפיריים בכלכלת נדל"ן זיהו הן גורמים הקשורים ישירות לדייר והן גורמים כלכליים רחבים יותר, המעורבים בבחירת הדייר באופן האחזקה בנכס. בין המשתנים המשמעותיים ביותר נמצאים עלות הבעלות בהשוואה לעלות השכירות, מבנה מערכת המיסוי המקומית, קביעות וגובה ההכנסה של הדייר, משך מגורים משוער, עלות האחזקה וניצול הנכס וכן שיקולים הקשורים בחלוקת סיכונים.
2.2.1	חלוקת סיכונים ומשך מגורים משוער
(1983)	Henderson and Ioannides מנסחים מודל תיאורטי המאיר את התפקיד הכפול של הבית, הן כמוצר צריכה והן כהשקעה. המודל שלהם מייצר מרחב להנחות מעניינות לגבי שוק הנדל"ן וההחלטה לגבי אופן האחזקה. באמצעות המודל הם מראים, שכאשר התשואה על הנכס היא ודאית, בעלות תמיד עדיפה על שכירות. בתנאים מסוימים שכירות הופכת עדיפה, כאשר שיעור ההחזר אינו ודאי. באופן זה, למעשה, דיירים עשויים להעדיף חוזה שכירות על פני בעלות כאשר רווחי ההון על דיור הם אקראיים והאלטרנטיבה של השקעה בשוק ההון רווחת. זאת ועוד, הם בוחנים את ההשפעה של חוקי המס הנותנים עדיפות לבעלי בתים וכן את השפעת כשלי שוק ההון על הבחירה באופן האחזקה. הן רמת המיסוי הממוצעת והן ההחצנות משכירות נותנות עדיפות לבעלות על בית. הם בוחנים את ההשפעה של רווחי הון אקראיים מהשקעות נדל"ן על הבחירה באופן האחזקה, ומראים, שבתנאים מסויימים, כאשר מתקיימת אלטרנטיבה להשקעה בשוק ההון, חוזה שכירות יכול להיות עדיף בהשוואה לבעלות.
(1998)	Ben-Shahar מתייחס גם הוא לאלמנט הסיכון, אך בניגוד אליהם מפתח מודל המבוסס על שילוב בין בעלות ושכירות. המחקר מתבסס על נקודת המבט של הדייר, ונבדקת בו בחירת האחזקה האופטימלית עבור הצרכן שונא הסיכון, המחפש לסלק גורמי סיכון הקשורים לגובה השכירות התקופתית. הצרכן יכול להשיג מטרה זו באמצעות רכישה חלקית בבעלות על הנכס. ככל שגדל חלקו של הדייר בבעלות על הנכס, גדלה ההגנה מפני תנודתיות המחיר התקופתי של שרותי הדיור. מצד אחד הדייר שונא הסיכון מוצא שבעלות על הבית מגדרת את הסיכון הכרוך בתנודות במחיר השכירות, ומצד שני, ככל שגדל החלק של הדייר בבעלות על הנכס, גדלות עלויות העסקה אותן נושא הפרט. הדייר בסופו של דבר בוחר בשילוב האופטימלי של בעלות ושכירות. תוצאה נלווית למסקנה זו היא שככל שאופק האחזקה בנכס ארוך יותר, גדל החלק האופטימלי
4
</t>
  </si>
  <si>
    <t xml:space="preserve">בחנה את הערכותיהם של המרואיינים אודות תנודות המחירים בשנה החולפת בשוק הנדל״ן. שאלה 7 בחנה את ציפיותיהם של המרואיינים לגבי תנודות המחירים העתידיים בשנה הקרובה.
שאלה מספר 4- למיטב הערכתך, האם מחירי הדירות לקניה בישראל עלו או ירדו בממוצע בשנה האחרונה?
כפי שצוין בסעיף 4.1.1, שיעור המרואיינים שהסתמכו על מיתוסים ואמונות גדל כאשר היה עליהם לצפות תנודות מחירים עתידיות. ניכרת עליה בנטייה לבסס את התשובות על השנה החולפת (עליה מ- 17% ל 47% בכלל המדגם). ניתן לראות כי חוק המספרים הקטנים נפוץ יותר כאשר נתבקשו המרואיינים לאמוד את תנודות המחירים בשנה החולפת. 37.6% השתמשו בדוגמאות פרטניות להכללת הערכתם על כלל שוק הנדל״ן למגורים בישראל בשנה החולפת לעומת 10.7% בלבד שביססו את הערכותיהם לגבי השנה העתידה לבוא על דוגמאות פרטניות.
38
</t>
  </si>
  <si>
    <t xml:space="preserve">1.	מהו "בניין מגורים שאינו מאוכלס"’
המושג "בניין מגורים שאינו מאוכלס" בו משתמש המחוקק, מתייחס לכל בית מגורים שאינו מאוכלס על ידי דיירים נוספים פרט לחוסים - בניין מגורים שנרכש או הושכר למטרה זו ומאכלס בשלמותו חוסים בלבד, או בית פרטי המיועד מראש למגורי משפחה אחת. מכאן, שבניין משותף ובית פרטי הינם שווי ערך בפני סעיף 63(א) לחוק התכנון והבנייה.
פרשנות זו של החוק הובילה למצב בו פועלים הוסטלים בהם מתגוררים למעלה מ-6 דיירים בבתי מגורים פרטיים או בבניינים שלמים שנרכשו למטרה זו. בערים רבות נוצר מצב בו מספר יזמים או יזם בודד שוכרים בתים סמוכים לצורך הפעלתם בהוסטלים ונוצר ריכוז של מספר הוסטלים במרחב מצומצם. בכדי למנוע ריכוז של הוסטלים בשכונות של בתים צמודי קרקע, גופים שונים - פרטיים וממשלתיים, פנו לבית המשפט על מנת להכריע במשמעות המושג "בניין מגורים שאינו מאוכלס". המשמעות לא הוכרעה חד משמעית בבתי המשפט. בתביעה שהוגשה על ידי המדינה כנגד אדם פרטי שהשכיר בית פרטי לשם הפעלת הוסטל עבור 13 נכי נפש, קבע בית המשפט כי לו רצה המחוקק שגם בתים פרטיים יכללו בהגדרה, היה משתמש במונח "בית מגורים" כחלופה ל״בנין מגורים". כיוון שלא נעשה כן, אין לפרש את החוק כאילו גם "בית מגורים שאינו מאוכלס", דהיינו בית פרטי, יכול לשמש כהוסטל בו ניתן לאכלס למעלה מ-6 חוסים (פ/0030202/02, 2004). שנה לאחר פסיקה זו, קבע בג״צ כי בחירת המחוקק במושג "בניין מגורים" נבעה מתוך שימוש בטרמינולוגיה שגורה המתייחסת לבניין בעל מספר יח״ד אשר בדרך כלל מתנשא לגובה, כאשר יחידות הדיור חולקות רכוש משותף כגון גינה, מדרגות, מעלית וכר. גם כאן, על פי הפסיקה, נטען שלו רצה המחוקק שגם בתים פרטיים יכללו בהגדרה, היה משתמש במונח "בית מגורים" או "בית משותף". אולם, פרשנות זו הוצגה במקרה הנוכחי כבסיס לטענה על פיה כיוון ובתים פרטיים אינם כוללים רכוש משותף, ניתן להתייחס אליהם כאל "בניין מגורים שאינו מאוכלס״ (בג״צ2005,33304/07). קביעה דומה, על פיה ההוסטל המופעל בבית פרטי דינו כדין "בניין מגורים" ולכן אין הגבלה במספר הדיירים, נפסקה בבית משפט השלום בירושלים (בש״א(י-ם)2007,5853/07).
2.	מה מספר החוסים המקסימאלי אותם ניתן לשכן בבניין מגורים שאינו מאוכלס!
החוק כולל מנגנון לוויסות הפיזור המרחבי של מסגרות דיור לבעלי צרכים מיוחדים ולמניעה של עומס על תשתיות פיסיות, בעיקר באזורים של בנייה רוויה - בבניין מאוכלס לא ניתן לשכן למעלה מ-6 חוסים. עם זאת, החוק אינו מגדיר מספר מקסימאלי של דיירים אותם מותר לשכן ב״בניין מגורים שאינו מאוכלס״. הפרשנות אשר ניתנה לסוגיה זו בפסיקה המשפטית אינה עקבית: ב-2005, קבע בג״צ כי מטרת צמצום החוסים מ-25 חוסים אותם ניתן לשכן בבניין מגורים מאוכלס (על פי הצעת החוק - הצ״ח 2333, 5.12.1994), ל-6 בלבד בחוק שאושר, נועדה למנוע עומס יתר על הרכוש המשותף והתאמת מספר הדיירים לגודלה של משפחה גרעינית נורמטיבית. אולם, לדברי השופט, כיוון שההגבלה תקיפה לגבי בניין בו קיים רכוש משותף בלבד, היא אינה תקיפה כאשר לא קיים רכוש משותף ולכן בבניין שאינו מאוכלס לא צריכה להיות הגבלה במספר החוסים. קביעה זו התייחסה הן לטענה כי מספר רב של חוסים יוצר עומס על תשתיות ברחוב והן מעצים את ירידת ערכי הנכסים כתוצאה מנוכחות של חוסים רבים יותר ברחוב (בג״צ3304/07,
44
</t>
  </si>
  <si>
    <t xml:space="preserve">קירות תמך או אזורים מסחריים בהם כל הפעילות מתקיימת בתוך מבני-ענק ללא זיקה לסביבה שלהם. בינוי "נטול זהות" שכזה יוצר תחושת היעדר ביטחון אישי למשתמשי המרחב העירוני וזאת בשל תחושה של היעדר בעלות, השגחה והגנה במקומות אלו. בפשטות, רחובות שאין בהם סימני טריטוריאליות נחווים כרחובות מפחידים.
גם לקשר שנמצא במחקר בין הפחד מפשיעה לבין הפחד מפני האחר יש היבט תכנוני מובהק. זאת, מאחר והוא ממחיש כי ניסיון לתכנון אזורים פנים־עירוניים חייב להתייחס גם למימד החברתי-תרבותי. עולה מכאן חשיבות השימוש בתהליכי תכנון "חלופיים" באזורים מסוג זה. כלים כגון שיתוף הציבור ופיתוח מנגנונים להטמעת ידע מקומי במערכת התכנון הם חיוניים גם כצעד מרכזי בהתמודדות עם בעיית הפחד מפשיעה. יש לאפשר לתושבים באזורים אלו להביע את עמדתם לגבי המוצר התכנוני וזאת בכדי לוודא כי הוא אינו פוגע בתחושת הביטחון האישי.
חשוב לזכור כי תכנון אזורים עירוניים במטרה לייעל את השימוש במשאב הקרקע עלול להחריף, שלא במתכוון, את בעיית הפחד מפשיעה. לדוגמא, עירוב שימושי קרקע עלול להגביר את כמות המטרדים במקום. כמו כן, הגברת צפיפות האוכלוסייה עשויה לעורר מתחים בין קבוצות אוכלוסייה שונות. פעולות אלו עשויות להביא בעקיפין לתחושה של פחד מפשיעה ובכך להביא לתוצאה ההפוכה של דעיכת אזורים אלו. על כן, תכנון של אזורים פנים עירוניים חייב לכלול הבנה מעמיקה של מכלול הסוגיות המשפיעות על תחושת הפחד מפשיעה. על מנת להטמיע נושאים אלו, יש לפתח מדדים אובייקטיבים להתמודדות עם הפחד מפשיעה ולכלול אותם כהנחיות תכנון מחייבות, בדומה להנחיות בנושאי סביבה ותחבורה. ניתן גם לשקול שילוב מדדים במנגנון הבקרה של גופי התכנון. בד בבד, חשוב כי תהליך התכנון יכלול את נקודת המבט הסובייקטיבית של התושבות והתושבים באמצעות תהליכים של תכנון משותף.
92
</t>
  </si>
  <si>
    <t xml:space="preserve">4.7	הלין
הנבדקים ביצעו את הניסוי בביתם הפרטי, בנוכחות הנסיין, במסגרת מפגש חד-פעמי שארך כמחצית השעה. בתחילת הניסוי הוסבר לנבדקים ההליך העומד בפניהם והוקראו בפניהם הוראות הניסוי. בנוסף, הוסבר לנבדקים כי מטרת הניסוי הינה בחירת דמות שממנה יהיו מעוניינים לקבל הסברים לגבי תרופות.
במסגרת המחקר נחשף כל נבדק לשלושה סרטונים, שבכל אחד מהם מופיע ECA שונה (אדם, חיה, אובייקט). בכל אחד מהסרטונים ניתן הסבר על תרופה שונה, כך שכל נבדק נחשף לשלושה ECA׳ים בדרגות אנתרופומורפיות שונות, וכן לשלוש תרופות שונות. על מנת למנוע הטייה הקשורה להסבר התרופתי שבסרטון נוצרו עבור כל ECA שלושה סרטונים שונים, כאשר בכל אחד הוא "מסביר" על תרופה אחרת. בנוסף, על מנת למנוע אפקט עייפות או אפקט יחסיות, נוצרו 36 קומבינציות של צימודים שונים של ECA׳ים ותרופות, שניתנו בסדר צפייה שונה. כל אחד מ-36 הנבדקים נחשף לקומבינציה שונה (הצימודים השונים מופיעים בנספח ד׳).
לאחר הצפייה בכל אחד מהסרטונים הוגש לנבדק שאלון זהה, המתבסס ברובו על שאלון ה-API (Agent Persona Instrument). בשל גילם המבוגר של משתתפי קבוצת הניסוי, הגורר עמו לעיתים קשיים בראייה ובכתיבה, הוצעה לנבדקים בחירה בין קריאה ומילוי של השאלון באופן עצמאי לבין הקראתו בקול ומילויו על-ידי הנסיין, או בסיועו.
הצפייה בשלושת הסרטונים והמענה על שלושת השאלונים הזהים נעשו ברצף. לאחריהם, הוגש לנבדקים שאלון מסכם הכולל שאלוני העדפה, שימוש במחשב, הרגלי שימוש בהוראות תרופתיות ושאלון דמוגרפי. בנוסף, ניתנה לנבדקים האפשרות להביע את דעתם באופן חופשי לגבי הסרטונים, וזו תועדה בכתב על-ידי הנסיין. השליטה בסרטונים נעשתה על-ידי הנסיין בלבד, על-מנת למנוע מצב שבו מיומנות השימוש במחשב תשפיע על שביעות רצון הנבדקים . יחד עם זאת, כל סרטון הוקרן ברצף וללא הפסקה, מתחילתו ועד סופו.
</t>
  </si>
  <si>
    <t xml:space="preserve">כפר שלם, סיפור ייחודי של פינוי ובינוי
פרק 6: זכאות לפיצוי וביסוייה בסוגיות מרכזיות
לפיצוי כלשהו. נבחן את האופן שבו מתייחסים החוק והפסיקה לנושא של תפיסות בקרקע (קרקע שנעשה בה שימוש על ידי המחזיק בה, אף על פי שאינה בבעלותו ואינה מוחכרת לו). במקרים של תפיסות קרקע, אף שההתיישבות נעשתה באופן שאינו חוקי, זמן ההחזקה בקרקע ופעולות שנעשו להשבחתה מקנים למחזיקים בה זכות מסוימת עליה, כ"בני רשות" בקרקע.34 מפס"ד ת.א. 2376/04 - רשות הפיתוח ני אלעוואר ואחי, (9 במארס 2008) עולה כי מעמד של בר רשות יכול להיקבע גם מתוקף שימוש שנעשה לאורך זמן בקרקע בידיעת הבעלים וללא התנגדותם, מצב המכונה "הסכמה מכללא". אך גם אז אין המעמד של בני רשות מקנה זכות של ממש בקרקע והבעלים רשאי לתבוע את החזרתה לידיו ללא פיצוי (או תמורת פיצוי מסוים, אם "בני הרשות" עשו פעולות שהביאו להשבחת הקרקע). ישנם שני סוגים של הרשאות בקרקע. הראשון, "רשיון הדיר" ניתן לביטול על ידי בעל הקרקע בכל עת, ואזי על בר הרשות בקרקע לפנותה (במקרה כזה, הגשת תביעה על ידי בעל המקרקעין כמוה כהודעה על ביטול ההרשאה). סוג ההרשאה השני מכונה "רשיון בלתי הדיר". זוהי הרשאה קבועה ותמידית שבעל המקרקעין אינו יכול לבטלה (הלפרט, 7.2.09 1, 12000/www.reader.co.il/article).
ו. 6.1 הזכאות לפיצוי של תושבי כפר שלם שטרם פונו
מאז ראשית הפינויים נעוץ שורש המחלוקת בין תושבי כפר שלם לגופים ממסדיים בשאלת זכותם של התושבים בקרקע. מבחינה חוקית מדובר בקרקעות מדינה, המנוהלות על ידי מינהל מקרקעי ישראל, אך התושבים ראו עצמם כבעלי זכויות בקרקע מעצם ישיבתם שם, ועל כן התרעמו על מסירת קרקעותיהם לחברות ממשלתיות ופרטיות, "שירוויחו על חשבונם", ודרשו ערכי פיצוי גבוהים יותר. בפועל, לתושבי כפר שלם יש זכויות רק באותן קרקעות שנמסרו להם על ידי רשות הפיתוח ואשר מעמד התושבים בהן הוא של "בני רשות" בקרקע ושל דיירים מוגנים. על פי דו"ח מבקר המדינה (2008), בין השנים 1962-2004 פונו מהמתחם קרוב ל 2,600 משפחות (במקום צפי של 1,400 לפי סקרים שנערכו לפני כינון החוק לפינוי ובינוי משכנות עוני, התשכ"ה - 1965). לדברי חלמיש, בעת כתיבת עבודה זו נותרו בכפר שלם עוד כ-500 משקי בית המיועדים לפינוי, לפי הבחנה בין שלושה סוגים של תפיסות בקרקע (פרוטוקול 261, ועדת הכלכלה של הכנסת מיום 29.5.07; סער, 22.6.08):
</t>
  </si>
  <si>
    <t>טעויות זיהוי עקב כתב אלכסוני</t>
  </si>
  <si>
    <t xml:space="preserve">כאמור מבנה שמקבל ציון משוקלל של פחות מ- 20 נקודות אינו ראוי לשימור ואינו נכלל בתכנית, מבנה שמקבל ציון משוקלל החל מ- 20 נקודות ועד 33 נקודות, ראוי לשימור "רגיל", ומבנה שמקבל ציון משוקלל של 34 נקודות ומעלה נחשב למבנה לשימור במגבלות מחמירות (הציון המשוקלל המקסימלי אותו ניתן לקבל הוא 60 נקודות). במענה לאחת ההתנגדויות נאמר בנוסף כי הניקוד ניתן תמיד באופן יחסי למבנים אחרים הנמצאים ברשימה או כאלה שלא נמצאים בתוכה.
מבין הקריטריונים לעיל נתייחס בהרחבה לקריטריון מיקום בקבוצת ערך אורבני. לקריטריון זה ניתן משקל 2 שהוא המשקל הגבוה ביותר (שניתן גם כן לקריטריונים עיצוב וערך חברתי או היסטורי). הקגוריות שהוגדרו לו הינם: 1. מתחם לשימור (הניקוד הגבוה ביותר); 2. חלק מרצף של בתים לשימור או במיקום בעל חשיפה גבוהה; 3. מבודד (הניקוד הנמוך ביותר). בהמשך המחקר נתייחס לקריטריון זה והשלכותיו. כאן נביא את ההתייחסות לקריטריון זה כפי שהובאה בהחלטת המועצה הארצית משנת 2007 :
"מיקום: קריטריון זה היה מקור למחלוקות רבות בדיונים שהתקימו. היו שטענו כי המיקום אינו רלבנטי שעה שענייננו בשימור המבנה הבודד.... לטעמנו... יש רלבנטיות ממשית למקום שבו הוא נמצא, להשתלבותו בסביבתו ולהיותו חלק מהקשר מסוים. כל שכן, הגם שיש ערך עיצובי למבנים הנכללים בתוכנית, אין ענייננו בשימור מונומנטים אדריכליים בלבד וערכם של המבנים נלמד, במידה רבה, גם מהשפעתם זה על זה והיותם חלק ממקבץ/ריכוז מבנים רחב יותר.
בהחלטה מובאים כלשונם דברים של אדריכל ירמי הופמן, מנהל מחלקת השימור בעיריית תל אביב, המבהירים את חשיבות קריטריון המיקום:
״כגרמניה, ליד שטוטגרט, יש שכונה שנקראת שכונת וייטבורג. שכונה זו תוכננה באותה תקופה שתוכננה העיר הלבנה תל אביב. היא תוכננה עיי אדריכלים יותר טוביס שבתל אביב .... השכונה הזו לא קיבלה את המעמד שלאתר מורשת עולמית עיי אונטקו והטיבה היא המיקום, זאת שכונה פרברית ליד שטוטגרט, ולכן החשיפה שלה היא יותר נמוכה וזה רק מדגיש את החשיבות של הנושא הזה של המיקום המטרה וההנחיה של הועדה למורשת עולמית היא להשתמש בכל כלי אפשרי על-מנת לרכז את אזור ההכרזה למקום אחד, והנושא הזה של המיקום הוא אחד הכלים לבצע את העבודה הזו, שאחת המשמעויות שלה זה טיכוי ההישרדות מכיוון שהגדרה של אזור
84
</t>
  </si>
  <si>
    <t xml:space="preserve">104
וצפיפות מגורים) (0.11=OR). כמו כן, נמצא יחס הפוך בין הליכה לבי"ס לבין מס' כלי רכב למשק בית (0.64=OR). המרחק הנתפס לביה"ס לא נמצא כמנבא מובהק להליכה לבי"ס.
הליכה לניידות אחה"צ בקרב ילדים
הקשר בין הליכה ליעדים שכונתיים בקרב ילדים לבין הסביבה החברתית-קהילתית, הסביבה הנתפסת והעדפות ניידות
הליכה לניידות בקרב ילדים לא נמצאה קשורה לשום משתנה סביבתי, אולם היא נמצאה קשורה למשתנים הבלתי-תלויים הבאים: מאפייני הסביבה החברתית-קהילתית, תפיסת הסביבה והעדפות ניידות (נספח 10.4). נמצא כי הסיכוי שבשבוע רגיל ילד ילך ברגל ליעדים שכונתיים גבוה יותר כאשר: בשכונה שלו הרבה ילדים משחקים בחוץ (1.91=OR) והוא מכיר הרבה ילדים בשכונה (1.76=OR). כמו כן, נמצא כי הסיכוי שבשבוע רגיל ילד ילך ברגל ליעדים שכונתיים אם הוריו מאפשרים לו עצמאות מרחבית בשכונה ברגל (2.34=OR), אם הילד הינו "חובב הליכה" (1.52=OR), וככל שהילד תופס את סביבת מגוריו כבטוחה (מפני פשיעה) (1.62=OR) וכידידותית לילדים (1.24=OR). לבסוף נמצא יחס הפוך בין מס' כלי הרכב במשק הבית לבין הליכה ליעדים שכונתיים אחה"צ (0.68=OR).
לבחינת המשקל היחסי של המשתנים הללו נבנה מודל רגרסיה מרובה משתנים (נספח 10.5). נמצא כי המנבא החזק ביותר של הליכה לניידות אצל ילדים הוא תפיסת מתירנות ההורים לעצמאות מרחבית (2.36=OR), ולאחר מכן מס' כלי רכב למשק בית (0.59=OR). יתר המשתנים הוכנסו למודל, אך לא נמצאו כמנבאים מובהקים.
רכיבת אופניים לניידות בקרב ילדים
הקשר בין הסביבה הבנויה לבין רכיבת אופניים לניידות בקרב ילדים
לוח 24 מציג את הקשרים בין רכיבת אופניים ליעדים שכונתיים אצל ילדים לבין מאפייני הסביבה הבנויה ויתר המשתנים המסבירים, כפי שנמצאו באמצעות רגרסיות חד-משתניות. נמצא כי הסיכוי שילד ירכב על אופניים ליעדים שכונתיים (מכולת או חבר/ה לפחות פעם בשבוע) עולה אם הילד מתגורר בשכונה בסגנון עירוני-פרברי (1.96=OR) וככל שיורדים ערכי מאפייני המרקם הבנוי בכלל (0.90=OR) ובפרט ככל שצפיפות המגורים נמוכה (0.35=OR). בנוסף להשפעת מאפייני הסביבה הבנויה, נמצא כי הסיכוי שילד ירכב על אופניים ליעדים שכונתיים עולה אם מתקיימים התנאים הבאים: הוריו מרשים לו לרכב על אופניים לבד בשכונה (בעל עצמאות מרחבית רבה באופניים) (3.64=OR), הילד הינו חובב אופניים (2.66=OR), והילד תופס את הסביבה כידידותית לילדים (1.25=OR) וכבטוחה (1.61=OR). עוד נמצא כי הליכה וריצה לפנאי בשכונה שכיחה יותר בקרב בנים (2.14=OR).
</t>
  </si>
  <si>
    <t xml:space="preserve">ההחלטה להתמקד ברכבת מבין מערכות תחבורה ציבורית נובעת מהתפיסה לפיה רמת השירות של הרכבת מהווה סוגיית מפתח בעידוד נסיעה בתחבורה ציבורית ובהעדפתה על פני הנסיעה ברכב פרטי. דעה זו מקובלת באירופה ובמדינות מערביות נוספות (2009 ,Bronset.al). אחת הסיבות לכך היא שעמדות מוקדמות של נוסעי רכב פרטי על נסיעה בתחבורה מסילתית חיוביות יותר מאשר דעותיהם על הנסיעה באוטובוס. עמדות אלה מתייחסות למשתנים מדידים כגון אמינות ונוחות הנסיעה, אך גם לתפיסות פסיכולוגיות הקשורות למעמד חברתי ותדמית אמצעי התחבורה (2007,Beirao &amp; Carbal).
המחקר מנתח את תכונות הנוסעים ודפוסי נסיעתם לעבודה, תוך התמקדות בהבדלים הקיימים בין נוסעים פוטנציאליים לבין נוסעי רכבת ובוחן כיצד אלו משפיעים על תהליך הבחירה באמצעי תחבורה. המחקר עושה שימוש במודל מסוג עץ החלטה, באמצעות אלגוריתם CART, המסייע באיתור וניתוח מכלול השיקולים והמאפיינים המובילים את הנשאל להעדיף אמצעי תחבורה מסוים ומציג את היחסים המורכבים הקיימים בין שיקולים אלו.
תרומת המחקר בהרחבת בסיס הידע העוסק בתהליך הבחירה באמצעי תחבורה בדגש על המשתנים הרכים של הנסיעה ברכבת והשפעתם היחסית על הבחירה. ממצאי המחקר מהווים בסיס לדיון באמצעים ובמדיניות להגברת השימוש ברכבת תוך התייחסות לתנאים התחבורתיים הייחודים לישראל, בה רכבות כבדות שמסלולן ומיקומן ביחס לעיר מוגבלים במיוחד, משמשות בפועל לצרכי יוממות.
העבודה מורכבת מהפרקים הבאים:
פרק 2: סקר ספרות. סקירת הרקע התיאורטי והאמפירי למחקר. ראשית מתמקד הפרק בהצגת שיטות נפוצות למידול תהליך הבחירה באמצעי תחבורה ציבורית. לאחר מכן מפורטים המשתנים המשפיעים על הביקוש לנסיעות באמצעי תחבורה תוך סקירת עיקר הממצאים הנוגעים לכל משתנה. לבסוף מוצג סיכום של משקלם היחסי של המשתנים השונים על תהליך הבחירה, כפי שעולה ממחקרים בנושא, ומוצגות נקודות החולשה של חלק ניכר ממחקרים אלו.
פרק 3: שיטת המחקר. פרק זה מציג את מערך המחקר, מטרותיו והשאלות העומדות בבסיסו, תוך פירוט המתודולוגיה והקריטריונים שסייעו בגיבוש קבוצת המחקר. כמו כן מפורטים שלבי איסוף הנתונים ושלבי הניתוח.
פרק 4: מאפייני קבוצת המחקר. הצגת המאפיינים האישיים של קבוצת המחקר תוך בחינת הקשר בינם לבין העדפת הנסיעה לעבודה ברכב פרטי או ברכבת. פרק זה מציג ניתוח תיאורי וסטטיסטי של מאפייניהם הדמוגרפיים, החברתיים והכלכליים של הנשאלים ומסלול הנסיעה שלהם (נקודות המוצא והיעד, אורך המסלול וכדומה). בנוסף נבחנת התדירות בה הנשאלים נוהגים להחליף בין אמצעי התחבורה רכבת ורכב פרטי, אם בכלל.
6
</t>
  </si>
  <si>
    <t xml:space="preserve">האפשרות לפירוק והרכבה של מעטפת מבנה כאמור, היא גורם מכריע בהארכת אורך חיי המבנה במיוחד אם מערכת התשתיות נשתלת בתוכה. ולכן חיבורי המעטפת צריכים לכלול חיבורים יבשים". גם במבנה ONP וגם במבנה TIP חלקי המעטפת הודבקו למערכות אחרות . המשמעות היא חוסר יכולת לתחזק את הבניין במערכותיו הפנימיות. אופי החיבור של חלקי המעטפת לשאר השכבות הוא מרכיב אף חשוב יותר ביעילות ל ,DFD אולי אפילו חשוב יותר מפרטי המעטפת עצמה.
56
</t>
  </si>
  <si>
    <t xml:space="preserve">חסרונות מגירת הניירת לפי ממצאי התצפיות, השאלונים והראיונות מול המרדימים הם:
-	חוסר סטנדרטיזציה: מגירת ניירת לא קיימת בכל עמדות ציוד והתרופות של הרופא המרדים בחדר הניתוח, בבתי החולים השונים. ישנם בתי חולים שהזמינו עמדת עבודה למרדים ללא מגירת הניירת, כיוון שלא חשו צורך עקב פתרונות אחרים כגון תיק רפואי ממוחשב.
-	כיום השימוש במגירת הניירת הולך ונעשה בתדירות נמוכה יותר ויותר, המרדימים דיווחו כי כמעט ואינם משתמשים במגירת הניירת בגלל מחשוב.
-	מגירת הניירת אינה משמשת כמצע כתיבה נוח, היא לא מספקת פתרון משטח כתיבה. כאשר רופא מרדים פותח את מגירת הניירת ולוקח ממנה דף לכתיבה הוא מחפש איזור כתיבה ייעודי ונוח בחדר הניתוח, וכשאין כזה הוא מאלתר כתיבה על אזור שטוח כלשהו (איור 96 עד 101)
-	הניירת מפוזרת ומונחת ללא סדר של גודל או חשיבות, רוב המידע נרשם בעמדה ממוחשבת בתיק רפואי ממוחשב. (איור 95)
</t>
  </si>
  <si>
    <t xml:space="preserve">בעיות תחזוקה שונות עשויים להוות מפגעי בטיחות אמיתיים במיוחד עבור אנשים אשר חיים בגפם (2005 ,Salvendy).
במיוחד שכיחות הפגיעות הבאות: נפילה במדרגות, רצפה ומקלחת; כוויות מבישול, מים חמים ואש; הרעלת גז ואדים. פגיעות רבות נגרמות עקב ירידה ביכולת הביצוע של משימות בבית וכן אבדן ביטחון עקב פגיעות קודמות וחשש לפגיעה חוזרת (2005 ,Salvendy).
הספרות המקצועית והמחקרים בתחום מתייחסים לבתים תומכים או "בתים חכמים" כאמצעי טכנולוגי מתקדם להנגשת סביבה ביתית למבוגרים ומוגבלים, ולניטור סיטואציות שונות אשר עשויות לסכן את הדיירים. למעשה הטכנולוגיות הקיימות כיום מסוגלות לתת מענה למגוון רחב של בעיות בהם נתקלים אנשים המזדקנים בביתם, ואשר אימוץ שלהן יתרום להגברת עצמאותם. האתגר הוא למצוא תמהיל טכנולוגי נכון ואינטגרציה של שירותים ומוצרים שיתנו את המענה הנכון (2007 ,.Bierhoff, et al). ניתן למצוא ספרות אודות בעיות באימוץ טכנולוגיות, מוצרים אשר נותנים מענה לחלק מהצרכים, העדפות צרכנים ודוגמאות לפרויקטים מחקריים שונים בתחום.
המחקרים עוסקים במספר תחומי חיים המעסיקים אוכלוסייה מבוגרת ואשר עשויים לתרום לחיים העצמאיים בסביבה הביתית. התחומים העיקריים הם רפואה מרחוק, אשר מאפשרת ניצול טכנולוגיה למתן מענה רפואי מידי ותחומים נוספים הם קיום שגרות חיים ופעולות יומיומיות כבידור ביתי ותקשורת. סקירה זו תתייחס למונח "בית חכם" כמונח עיקרי, לצורכי נוחות, אך העבודה מתייחסת לבית תומך כמכלול המשלב בתוכו טכנולוגיות אשר נהוג להגדירן תחת הכותרת של "בית חכם" וגם סידורים ואמצעים תומכים שאינם נכללים בהכרח בהגדרה זו. נתמקד במספר נושאים ושאלות אשר עולים מתוך העיסוק באפשרויות "בית חכם" לאוכלוסייה מבוגרת:
1.	עמדותיהם של אזרחים מבוגרים כלפי פתרונות "בית חכם"
2.	פרויקטים מחקריים בתחום
3.	אתגרים בהטמעת רחבה של פתרונות "בית חכם" לאוכלוסייה מבוגרת
4,3.2	מהו בית חכם?
:(Chan, Campo, Esteve, &amp; Fourniols, 2009). בית חכם בהקשר רפואי יהיה
1.	מערכת שכוללת:
•	מתקנים לבישים, נישאים או שתלים
•	מתקנים ניידים או קבועים כגון חיישנים, מפעילים (אקטואטורים) וכדומה
•	מתקנים מוטמעים עם יכולת תקשורת (ICT ) במבנה הבית, במכשירים וחפצים יומיומיים כגון רהיטים
8
</t>
  </si>
  <si>
    <t xml:space="preserve">4.3.	השפעות של סטודנטיפיקציה
לגידול באוכלוסיית הסטודנטים בכלל, ולסטודנטיפיקציה בפרט, יש השפעות מגוונות הנתפסות כחיוביות או כשליליות על־ידי גורמים שונים ובהקשרים שונים.
באופן כללי, מחקרים העוסקים ביתרונות של גידול באוכלוסיית הסטודנטים בעיר מתמקדים בתועלות הכלל עירונית. בין אלה בולטים היבטים כלכליים כמו השפעת ההוצאות של הסטודנטים על הכלכלה העירונית, תרומה כלכלית לקהילה או יצירת קשרים בין סטודנטים ופירמות עסקיות. כמו כן, לעיתים מיוחסת לנוכחות הסטודנטים השפעות חיוביות בצורת תדמית של יוקרה, הזדמנויות למידה, אירועים חינוכיים, תרבותיים ואומנותיים אחרים, קונצרטים והופעות וכדומה
.(Universities UK, 2005)
ברמת השכונה, יכולה כניסתם של סטודנטים לשפר את החיות (lively) השכונתית, התמהיל הקהילתי, רמת השירותים המקומיים והפעילות התרבותית בשכונה. כניסתם עשויה ליצור שילוב מועיל של שימושי קרקע למגורים ולמסחר (2009 ,Macintyre, 2003; Munro etal). יחד עם זאת, ההנחה כי יתרונות אלה אכן ׳מטפטפים׳ מטה ומשפיעים בפועל על השכונה כולה איננה ברורה כל כך, וההבנה אודות תועלתם של הסטודנטים ברמת השכונתית פחות מפותחת ונוטה להיות רחבה וכללית יחסית (2005 ,Universities UK).
לוח 1 מרכז את ההשפעות החיוביות של הסטודנטיפיקציה לפי ארבעת ממדיה, כפי שעולה מן
Macintyre, 2003; Munro etal, 2009; Munro and Livingston,) הפרסומים העיקרים בנושא 2012; Universities UK, 2005; Smith, 2005, 2008, 2012; Hubbard, 2008, 2009; Chatterton, .(2000; Donaldson eta/, 2014
</t>
  </si>
  <si>
    <t xml:space="preserve">הבניה העצמית של הבית היא מימד בתוך מסע זה. התבוננות במסעו של תומר כפי שהוא מסופר מפיו, חושפות את התנועה בין הקואורדינטות המשפיעות ומעצבות את המסע מתוך התקדמותו. כיוון המסע מיוצר מתוך ההתקדמות עצמה: מהחיים העירוניים עם הוריו לשירותו הצבאי כטייס, הטיול בניו זילנד, המעבר לגליל, לימוד מלאכת הבניה, החלום על חוות בודדים והבנייה בפועל של ביתו. הבנייה העצמית אינה המטרה אלא היא חלק מ׳סיפור על׳ (Grand Plan) שתכניו בונים את עצמם תוך כדי המסע. להגשמה העצמית יש קואורדינטות לא רק נרטיביות או של מוסדות וסוכנים מעצבים, אלא גם של תנועה מרחבית: מאזור המרכז שבו התגורר עם הוריו עובר תומר לעמק יזרעאל ומשם הוא ממשיך ומטפס להרי הגליל, הוא עובר לאוסטרליה וחוזר וחולם בדמיונו על אכסניה ב תווי הטיול של שביל ישראל. הישוב מצפה חרשים מתואר מתוך קואורדינטות של קיצון: חרשים מתואר כישוב - הכי גבוה, הכי גשום והכי קר; במגרש שואף תומר להשאיר את הצמחייה הטבעית בצורתה הלא מופרעת גם הבניה עצמה מתכווננת כמדיום ראשוני: הן אתגר הפיזי והן הבחירה בטכנולוגיה של עץ - בטכנולוגיה של חומר טבעי.
בתוך תהליכים אלו עולה האופן בו תופס תומר את שאלת הסמכות. אל תחומי המומחיות השונים הוא מתבוננן כמרחב של ידע הפרוש בפניו וממנו הוא יכול לבחור וללמוד כדי להגשים את מטרותיו. התפיסה התעסוקתית של תומר אינה מנוהלת מתוך גישה של נתיב מקצועי מוגדר. במהלך השנים, בנוסף לשירותו המקצועי כטייס בחיל האויר, הוא גם עובד בחברת היי־טק באזור המרכז. תומר משרטט הפרדה ברורה בין עבודה במובן של תעסוקה המאפשרת לו בסיס כלכלי לחייו ואפשרות לשנות את חייו, לבין עבודה ככלי של הגשמה כמו העבודה בחברת הבנייה וגם הוראת אמנויות הלחימה. את העבודה בחברת הבניה של בתי עץ תופס תומר כאמצעי ללימוד של טכנולוגיית הבניה. אולם, בנוסף, במהלך בניית הבית, הוא מנסה את כוחו גם בטכנולוגיות שלא קיבל בהן הדרכה מקצועית: כך למשל, מספר תומר שאת המדרגות לבית ריתך ובנה בעצמו בלילות במסגרייה ששייכת לאביו של חבר. הפעולה של תומר לא מצטמצמת לתחום הבניה: הוא בוחן כיצד יוכל להשתמש בעודפי ייצור קיימים. הוא מנהל רישום של חלונות עץ המוחזקים במחסני המשווקים, אותם הוא מתאים מחדש לתוך התכנון הקיים של קירות הבית.
מתוך הראיון עם תומר עולים גם ערכי השימוש. מתוך הפרספקטיבה המורחבת של החיים בטבע, צורות השימוש שתומר מגדיר אינן בהכרח קשורות לצורת התנהלות בבית. צורת השימוש בבית אינה קשורה לקונספציה כזו או אחרת של משפחתיות לדוגמה. במהלך השיחה הוא מעלה את דמותם של שני בתים: הבית העירוני של הוריו שמורכב למעשה מסדרה של בתים שונים שבהם גר בילדותו בערים שונות והבית באוסטרליה שבו גר ועבד ואשר הוביל אותו לחלום על הקמה בגליל של ׳חוות בודדים׳.11 אל מול שני בתים אלו, כנקודות קיצון, שואל תומר למעשה מהו היומיום ׳הטבעי׳? או איך חיים בהרמוניה עם הטבע? כאשר במהלך המסע מתפרקים ערכי הטבע לתתי
</t>
  </si>
  <si>
    <t xml:space="preserve">•	התפיסות הסביבתיות של יחידים וקבוצות מעצבות את העצמים המוחשיים בסביבה דרך
קשרי הגומלין בין מנגנוני השיח השונים.
•	מדיניות סביבתית מהווה מנגנון פעולה של השיח, המסדיר פעולות של יחידים וקבוצות בחברה. גישה פרשנית מגדירה מדיניות כפתרון של קונפליקטים בין יחידים וקבוצות המפרשים את המציאות באופן שונה ונאבקים בינהם על אופן מסגור "בעיות המדיניות", אופי החלופות המוצעות ובחירת כלי לפתרונן.
•	ניתוח מדיניות פרשני חושף תפיסות שונות שנמצאות בבסיס תהליך המדיניות. בהקשר של המחקר הנוכחי, המחקר חושף כיצד תפיסות סביבתיות מובילות למדיניות המשנה את הנוף הפיזי.
45
</t>
  </si>
  <si>
    <t>חילופי י' '</t>
  </si>
  <si>
    <t xml:space="preserve">1.4	שאלת המחקר
השאלה העומדת בבסיס מחקר זה היא:
האם ק״ם קשר בין מדדים חזותיים של תא שטח נתון לבין הערכיות האקולוגית של אותו תא שטח כפי שהיא באה ליד׳ ביטוי במדדי נדירות ומגוון של שתי חברות - ציפורים מקננות וצומח מעוצה ? מה אופי הקשר, אם יוכח קשר כזה?
מחקר זה נמצא על התפר שבין אדריכלות נוף ואקולוגיה ומנסה למצוא כלים כמותיים לביסוס הקשר הזה. עם התפתחות הפרדיגמה החדשה באקולוגיה - אקולוגיה של הנוף ומודל האסתטיקה האקולוגית באדריכלות נוף נוצר צורך למצוא שפה משותפת בין שני התחומים. שדה הפעולה של אדריכלות נוף ואקולוגיה מתרחש באותה זירה - הנוף ושני התחומים עוסקים במבנה של הנוף והדפוס המרחבי שלו . יתרה מזו אדריכלות נוף יוצרת פעולות פיסיות בשטח, פעולות אלו משנות את המבנה של הנוף וכתוצאה מכך משפיעות על התהליכים הקורים בו וגורמות לשינו׳ של המערכות האקולוגיות. מאחר ושתי הפרדיגמות נמצאות עם רגל אחת באקולוגיה ורגל שניה באסתטיקה ומסתכלות על הנוף בראיה הוליסטית, כאשר במקרים רבים לא ניתן להפריד בין מגוון חזותי למגוון אקולוג׳, נדרש ניסיון לקרב אדריכלי נוף אל השיח האקולוגי מצד אחד ומצד שני להעמיק ההכרה מצד אקולוגים כ׳ האדם הוא חלק מהמערכת הטבעית וכי המערכת הטבעית עצמה היא במקרים רבים תוצר תרבותי. מחקר זה ניגש לבעיה מכיוון אדריכלות הנוף ובודק האם באמצעות הכלים החזותיים עליהם מתבססת במידה רבה אדריכלות הנוף ניתן לקבל מידע כמות׳ המעיד על טיב המערכת האקולוגית.
14
</t>
  </si>
  <si>
    <t xml:space="preserve">פרק 7: דיון מסכם
ניתוח אינטגרטיבי של שלושת אירועי התכנון
במחקר זה ביקשתי להצביע על המוציאות העכשווית הכואפיינת ערים ההופכות למעורבות לאור הדירה של חרדים ופלסטינים אזרחי ישראל המזוהים כקבוצות 'אחרות'. המרחב העירוני של ערים אלו תוכנן ונתפס מאז היווסדן כמרחב הומוגני יהודי וחילוני. אולם נוכחותן של קבוצות ׳אחרות׳ בעיר והתביעות המרחביות שהן מייצגות, בין אם באופן מעשי ובין אם כתביעות עתידיות, גורמת למתחים חברתיים, כלכליים, פוליטיים ותרבותיים בין תושבי העיר ובין התושבים לרשות המקומית.
בתקופת המחקר חקרתי את המשמעות של עירוב חברתי ותרבותי בכרמיאל בהקשרים שונים: זיקה דתית, השתייכות אתנו-לאומית ומעמד חברתי-כלכלי. נקודת המבט המתחשבת ומכירה בקיומם ושילובם של רבדים של 'שונות בעירי מאפשרת התייחסות לסוגיות ניהוליות ותכנוניות, כגון: מחזור החיים השכונתי, התמורות שעוברות שכונות וותיקות, תכנון והקצאת משאבים ושטחים לצרכי אוכלוסייה מעורבת, התמודדות עם קונפליקטים ומאבקים בין קבוצות בעיר, המסר החברתי העולה מתכנון פיזי, התפתחות ופיתוח עירוני ושכונת׳ והקשר בין מרכז עירוני ישן ומתדרדר לבין פיתוח אינטנסיבי בשולי העיר.
ממצאי המחקר מראים כי בישראל לא קיימת מדיניות מוסדרת של עירוב חברתי מבחינת זיקה דתית או השתייכות אתנו-לאומית. לעומת זאת, תיקון 101 לחוק התכנון והבנייה מהווה עדות לתחילתו של תהליך הפועל להסדרת מדיניות של עירוב חברתי בהקשר חברתי-כלכלי. אלא שהמציאות העירונית העכשווית בערים פריפריאליות שהוקמו בשנות ה-50 וה-60 מדגישה את השונות ההולכת וגוברת ומעידה על עירוב חברתי שאינו מוכוון על-ידי הממסד ואף אינו רצוי מבחינתו. לפיכך, נוצרת מציאות שבה העירוב החברתי, הדתי, התרבותי, הכלכלי והפוליטי הוא בבחינת עובדה קיימת, אלא שאין הוא מלווה בלכידות חברתית בין הקבוצות השונות בעיר: אין תחושה של שייכות, אין אמון בין הקבוצות, אין הכרה בצרכים ובהעדפות של הקבוצות היאחרות' המצטרפות ואין רצון לשיתוף פעולה ביניהן ( &amp; Pestieau 2003 ,Wallace). נראה כי השונות בערים בישראל אינה נתפסת כפוטנציאל, אלא
.(Koutrolikou, 2007; Van Leeuwen, 2010, 2014b) כמחוללת של בעיות חברתיות
208
</t>
  </si>
  <si>
    <t>טעויות עקב פונט לא נפוץ Segoe UI</t>
  </si>
  <si>
    <t xml:space="preserve">4	מתודולוגיה למחקר האמפירי
4.1	מטרה ושאלות המחקר
מטרת המחקר היא לבחון את הקשר שבין יוממות לבין האי שוויון והשכר ברמת היישוב הבודד. העבודה עשויה לספק כלי נוסף לחיזוי פרמטר כלכלי חברתי חשוב כגון אי שוויון ולחזק את ההבנה לגבי השלכות אפשריות של מאפייני המערכת הכלכלית הנוכחית, המאופיינת במוקדי תעסוקה גדולים ובשיעורי יוממות גבוהים.
4.2	שאלת המחקר המרכזית
שאלת המחקר המרכזית היא האם ישנו קשר בין עלייה ביוממות (המתבטאת הן בזמן היוממות והן בשיעור היוממות באוכלוסייה) לבין שינוי בשיעורי האי שוויון והשכר בתוך יישובים.
4.3	השערת המחקר
המודל הרעיוני של המחקר כולל שתי השערות אפשריות:
‏א.	עלייה בשיעורי היוממות של עובדים ביישוב צפויה להגביר את האי שוויון בהכנסות בתוך היישוב מכיוון שהיא מבטאת מעבר של עובדים בעלי כישורים גבוהים יותר (וכושר השתכרות גבוה יותר) למקומות תעסוקה מרוחקים יותר שמספקים תמורה גבוהה יותר. לאור זאת עלייה בשיעורי היוממות תוביל לעלייה באי שוויון בהכנסות הפרטים ומשקי הבית ביישוב. השערה זאת מניחה שעובדים בעלי הכנסות גבוהות יותר עדיין לא מיצו את פוטנציאל ההשתכרות הקיים במרחבי המטרופולינים שלהם (מתוך הנחה שקיים גבול אפקטיבי לזמן היוממות המקסימאלי שהפרט מוכן לסבול).
‏ב.	עלייה בשיעורי היוממות ביישוב צפויה לצמצם את האי שוויון בהכנסות של משקי הבית בשל תרומתם של בעלי הכנסות נמוכות יחסית להתגברות היוממות ומעבר של בעלי הכנסות נמוכות לשווקים מפותחים יותר שבהם השכר המשולם גבוה יותר. כאן אנו מניחים שבעלי ההכנסות הגבוהות יותר כבר מיצו את פוטנציאל השיפור בשכרם (מבחינת מציאת עבודה מתגמלת יותר ביחס לכישוריהם) במרחב המטרופוליני ועל כן הרחבת זמני היוממות הממוצעים בישוב נובעת מיוממות של בעלי המשכורות הנמוכות יותר. כתוצאה מכך, שיעור האי שוויון ביישוב צפוי לרדת.
24
</t>
  </si>
  <si>
    <t xml:space="preserve">3.	שיטת המחקר
3.1	מגנה המחקר
בפרק 1 הוצג כי לתכונות הבניין הבסיסיות, השפעה מכרעת על הפוטנציאל לחיסכון באנרגיה לאורך שנים. הוצג גם הצורך במיצוי הפוטנציאל האנרגטי של מבני משרדים קיימים, המהווים אחוז ניכר מצריכת האנרגיה הכללית של המשק ולהם פוטנציאל חיסכון רב ביחס לבנייה חדשה.
כמו כן ניכר כי בהסתכלות על מחזור החיים של הבניין, לפרמטרים כמו העמדה, גיאומטריית הבניין ומעטפת הבניין ההשפעה הגדולה ביותר על החיסכון באנרגיה לאורך שנים, בין 15 ל- 70 שנה ויותר (2005,Cabe). לפרמטרים כגון גמישות, יעילות,
ויכולת חלוקה השפעה ניכרת על מיצוי הפוטנציאל האנרגטי הטמון בתחום מבני המשרדים (,Caccavelli D. &amp; Gugerli H 2002).
במחקר שנערך ע"י שביב וקפלוטו (1992) נעשתה הבחנה בין ההשפעה היחסית של פרמטרים גיאומטריים ופרמטריים לא גיאומטריים על החיסכון באנרגיה במבני מגורים בישראל. המחקר הראה כי לפרמטרים גיאומטריים כגון גודל החלונות, הפנייה ושטח החזית השפעה גדולה יותר על צריכת האנרגיה והם רגישים יותר לשינויים מאשר פרמטרים לא- גיאומטריים (תרשים 3.1). הצללה נכנסה בשתי הקטגוריות: גיאומטרי ולא גיאומטרי.
</t>
  </si>
  <si>
    <t xml:space="preserve">1973) Nicol &amp; Humphreys) הבחינו שהדרך הטובה ביותר להבנת תחושת המשתמש בסיטואציות מסוימות היא ללכת ולשאול אותו בצורה ישירה. הם הציעו גישה של משובים, כדי לפענח את התוצאות של מחקרי השטח של הנוחות התרמית. הגישה הראתה שהאנשים הגיבו לתחושות לא רצויות כך שהם ביצעו שינויים במערכת בקרת הנוחות עצמה. מלבד התגובה הפיזיולוגית האוטומטית של הגוף, האנשים במודע משנים את הקשר שלהם לסביבתם, וזה בכדי להגן על טמפרטורת הליבה של הגוף. חלק מהפעולות ש-1998) Nicol &amp; Humphreys) מנו כתגובה לקור ולחום הינן פיזיולוגים ולא בשליטה, וחלקן כמו השינוי של התנוחה ורמת הפעילות, יכולים להיות במכוון או לא במודע. הם נוטים להתייחס לאדפטיביות מתוך הפעולות הגופניות הקטנות, שאינן נתונות למדידה, של האנשים כדי להישאר במצב של נוחות. לעומתם (1998) Auliciems (1981), de Dear &amp; Barger, הדגישו יותר את התפקיד של הפסיכופיסיקה וההתנהגות. מחקרי נוחות שנערכו לאחרונה שמים דגש יותר גדול על הגישה האדפטיבית, על הצורה בה אנשים מתנהגים כדי להבטיח את הנוחות שלהם (בתוך 2012 ,.Nicol, et al).
כפי שראינו הסביבות הפנימיות בבניינים פסיביים נשלטות ע״י הארכיטקטורה (ראה חלק 3.1), העיצוב והתכנון של הבניין ורכיביו. הטמפרטורה הפנימית במבנים כאלה נקבעת ע״י האדריכלות דרך צורת הבניין, האוריינטציה, המסה, החלונות, ההצללות, החומרים ועוד. הטמפרטורה הפנימית בבניינים פסיביים משתנה לפי מזג האוויר ואפילו במצבים מסוימים השתנות זאת היא רצויה. במזרח התיכון, למשל, ישנם בניינים בעלי מספר רב של חדרים. לכל חדר יש את התנאים התרמיים הספציפיים שלו. וכך הדיירים יכולים לבחור באקלים הפנימי המתאים ביותר עבורם מתוך קומפלקס החדרים בכל זמן נתון ביום ובשנה. טמפרטורות שהם "נכונות" בקיץ בהתאם לסוג הלבוש הקיצי, חולצה ומכנס קצרים, יכולים להיות באופן מפתיע חמות בהתאם ללבוש חורפי. אנו נצפה לחוויות תרמיות שונות בחורף ובקיץ ואנו נשנה את התנהגותנו בהתאם (2012 ,.Nicol et al). מתוך זה המודל האדפטיבי מושפע משני משתנים עיקריים (מדד ה-PMV התבסס על ששה משתנים), והם הטמפרטורה האופרטיבית וממוצע טמפרטורת החוץ. כאשר בנוסף למשתנים שניתנים למדידה, מדד זה מניח שקיימים גם גורמים פסיכולוגיים, תרבותיים ואישיים אשר משפיעים על תפישת הנוחות התרמית של האדם. לפי 160 ניסויי השדה ש- &amp; de Dear Brager (בתוך 2012 ,.Nicol et al) ביצעו במבני משרדים, הם מצאו שאנשים אשר נמצאים באזורי אקלים חם מעדיפים טמפרטורות פנים גבוהים יותר מאלה אשר נמצאים באזורי אקלים קר. דבר נוסף שעלה ממחקרם מעיד על כך שדיירים במבנים מאווררים בצורה טבעית הינם סובלניים ובעלי יכולת הסתגלות לטווח רחב יותר של טמפרטורות, דבר שמשקף את ההשתנות באקלים החיצוני.
</t>
  </si>
  <si>
    <t xml:space="preserve">■	עמודה A: רשימת הפתרונות לשדרוג
מדד משאבים כולל 2 מרכיבים גנריים:
■	עמודה B: מדד משאבים - הניקוד הפוטנציאלי בפרקי המשאבים אנרגיה, קרקע ומים של כל פתרון שדרוג עפ״י התקן לבנייה ירוקה משוקלל בהתאם למדיניות הממשלתית.
■	עמודה C: דירוג אורך החיים של הפתרון (מדד המשאבים).
מדד איכות ח״ם כולל 3 מרכיבים גנריים:
■	עמודה D: מדד איכות ח״ם - הניקוד הפוטנציאלי בפרק הבריאות והרווחה של כל פתרון שדרוג עפ״י התקן לבנייה ירוקה משוקלל בהתאם למדיניות הממשלתית.
■	עמודה E: דירוג נוחות המשתמש בפתרון בעקבות שיפור איכות השהייה ונוחות השימוש בחלל.
■	עמודה F: דירוג התרומה הנתפסת לאיכות החיים בעקבות שיפור חזותי אסתטי של הבניין ביחס לסביבתו.
מדד ״שימות כולל שני מרכיבים גנריים:	1
■	עמודות G: דירוג קלות הביצוע של הפתרון.
■	עמודה H: דירוג עלות הפתרון.
9.2.2	מידע ספציפי
בחלק הספציפי המשתמש נדרש לקבוע את המידע הרלוונטי והספציפי לפרויקט. בהדגמה, כדי לשמור על תוצאות בנות השוואה, נקבעו נתונים אחידים עבור הנגישות ותקציב הפרויקט, ונתונים משתנים בנוגע לאזור׳ אקלים ואור״נטציות. זאת, כדי להמחיש את השפעות האקלים והאור״נטציות על ההערכה המתקבלת.
המידע הספציפי בהדגמה של פתרונות שדרוג חזית ירוקים כולל את הנתונים הבאים:
■	הגדרת הנגישות לפרויקט: הנגישות לפרויקט בהדגמה נוחה ולא צפויים קש" ביצוע. דירוג הנגישות גבוה עם 3 נקי בסולם של 3-1 נקי. נתון זה זהה בכל ההרצות של ההדגמה: 3=A
■	דירוג תקציב הפרויקט: ערכי הדירוג של התקציב מבטאים את מידת השפעתו על "שימות הפרויקט.
השפעה גדולה מוגדרת בערך 1=6 והשפעה קטנה בערך 3=6. דירוג התקציב בהדגמה הוגדר ברמה בינונית עם 2 נקי בסולם של 3-1 נקי. נתון זה זהה בכל ההרצות של ההדגמה:2=6
■	קביעת אזורי האקלים של ההדגמה: בהדגמה נבדקו שלושה אזורי אקלים המיוצגים ע"׳ שלוש ערים שונות בישראל - ת״א (חם ולח), ירושלים (ממוזג קר) ואילת (חם ויבש). ההרצות הראו את אפשרויות היישום של הפתרונות באקלימים השונים והמחישו את רגישות המערכת לשונות האקלימית.
■	קביעת ההפניות הראשיות של הבניין בהדגמה: ההפניות הבנ״ניות שנבדקו הן צפון, דרום מזרח ומערב. כל ההפניות הנ״ל נבדקו בשלושת אזורי האקלים. לשונות האקלימית נוספת השונות באורינטציות הבנ״ניות כגורם משפיע בבחירת הפתרון הרצו׳ לשדרוג חזית הבניין.
145
</t>
  </si>
  <si>
    <t>מתחלף י' עם '. כתב times new roman</t>
  </si>
  <si>
    <t xml:space="preserve">הנטיעות הראשונות היה אחראי קוטנר שהעדיף עצים ירוקי עד, מחטניים ורחבי עלים pi שימוש באבן הכורכר הטבעית כחומר לבניית הגן. לעומתו העדיף ליפא, את האבן הירושלמית הדולמיטית לעיצוב המדרגות, המסלעות וקירות התמך. ליפא אשר הושפע מעבודתו עם סגל, בחר במראה הגן האנגלי אותו שילב בגן באמצעות קווי המסלעות והמדרגות המתעגלים בהתאם לטופוגרפיה (שם: 139).
סגנון הגן הטבעי ניכר גם בגינות שתוכננו בשנות ה-40. בחלקם שולבו בנוסף מרכיבים פורמאליים/ גיאומטריים כגון בגינת סלמה בירושלים (קאופמן, 1941) ונדל-שיפמן ברחובות (סגל, 1947).
באחרות היה הסגנון הטבעי מובהק יותר, כמו למשל בגינת אנוביץ' בקרית טבעון (אנוביץ',שנות ה- 40), ובגינות שונות שתכנן אורן-וינברג שיבחנו בהמשך המחקר.
מגמה זו התחזקה בשנות ה-50 וסגנון הגן הטבעי יושם גם בתוכניות הגינה הפרטיות שתוכננו על ידי יחיאל סגל, יצחק אנוביץ', יצחק קוטנר, רות אניס, חיים לטה, מאיר ויקטור וריכארד קאופמן.
בין אלו הייתה גינתו של נשיא המדינה השני יצחק בן צבי שתוכננה בשכונת רחביה בירושלים בשנות ה-50 על ידי אדריכל הנוף מאיר ויקטור. הגינה תוכננה כרחבה מרוצפת באבן טבעי, המשלבת בתוכה ובהיקפה ערוגות פרחים שיחים ומדשאות קטנות המעוצבות בצורה אמורפית. תכנון זה נעשה באופן שונה מהדפוס המקובל בגינות מקבילות בהם המדשאה היוותה את לב הגינה. התכנון כלל צמחייה ים תיכונית כגון: גרניום, קיסוס החורש, יסמין, הדס, הרדוף וכוי וכן צמחייה מיובאות כגון: לגרסטרמיה הודית, ליגוסטרום יפני, ערבת בבל ועוד ...
</t>
  </si>
  <si>
    <t xml:space="preserve">כלומר ,מדובר בתוספת ביטחון אישית הן בפן הפיזי והן בפן החברתי" (הודעת דוברות משב״ש, מתאריך: 07/03/2010; ההדגשות לא במקור).
בסיום שלב ב' של התכנית, שר הבינוי והשיכון חזר על הדברים והוסיף: "כך נספק ביטחון טוב יותר ורווח כלכלי לתושבים" (הודעת דוברות משב"ש, מתאריך: 28/10/2012; ההדגשה לא במקור).
כמתפרש מהדברים, משמעותו האסטרטגית של ביצוע הפרויקט מודגשת בתרומתו הכפולה לפרט ולחברה, וברמה לאומית שמצדיקה את ההשקעה.
מעבר לכך, על פי הודעות דוברות משב״ש, יישום הפרויקט מוכיח כי "יש יד מכוונת שמנסה להגן על האזרחים", וכי "הפרויקט השביח את העיר שדרות"; השר מעיד כי: "כמי שעוסק רבות בשיווק והצפת המדינה בקרקעות, בכדי שיותר אנשים יוכלו להגשים את היכולת לרכישת דירות, הרי שההוכחה הטובה ביותר להצלחת הפרויקט היא שכל השווקים שהוצאנו בשדרות צלחו, כולל מתעניינים מחוץ לעיר שבאו לגור בה" (שם: הודעת דוברות משב"ש; עדכון מתאריך: 27/12/2017). למעשה, משב״ש רואה בהגשמת הפרויקט השקעה מוצלחת כבר מראשיתו, כאשר לנוכח עבודות המיגון ניכרת בעיר מגמת פיתוח וצמיחה. את החשש המדיני מעזיבת תושבים, החליפו הדיווחים על תנופת בנייה למגורים.86
4.	מטה משרד הבינוי והשיכון - אחריותו להפעלת פרויקט המיגון
מכוח החלטת הממשלה, משב"ש מקים ועדת יישום עליונה בראשות מנכ״ל המשרד, הכוללת גם את נציג משרד האוצר, משרד הפנים, משרד הביטחון, פיקוד העורף, וחברת "עמיגור" (ר' איור מסי 2.4. להלן: סכמת הפעלה מנהלית של משב״ש).
הוועדה ריכזה את כל הגופים המעורבים בפרויקט, במטרה לקבוע עקרונות לביצוע החלטת הממשלה ותפקדה כגוף בקרה עליון של הפעלת הפרויקט. שלא כמו במבנה שגרתי של עבודת פיתוח, הוועדה פעלה כליבה ניהולית משותפת שהוקמה במסגרת מטה משב"ש לצורך קבלת החלטות מהירה - נתונים מגיעים בזמן אמת למקבלי החלטות הנדרשים להוריד הוראות לשטח במהירות. לאור הצורך בקבלת החלטות מהירה, הפעלת הפרויקט הועברה ממחוז דרום ישירות לטיפול מטה משב״ש ולוועדת היישום בראשות המנכ"ל (זיידמן, ריאיון: 28/05/2014).
</t>
  </si>
  <si>
    <t xml:space="preserve">התוצאות מראות כי לבנים (915.=מ5 ,3.85=717) עמדה חיובית דומה לזו של בנות
.(z(309)=. 027, 978,95% .=ק C/[-.204,.199]) אך ההבדלים אינם מובהקים (M=3.85, 57V809)
כלומר, לא קיימים הבדלים בין בנים לבנות בעמדותיהם לגבי שימור על שטחים פתוחים לטובת שימור על מגוון ביולוגי והשערת המחקר לא אוששה על סמך בדיקה זו.
‏ד.	השערה: המגדר משפיע על העמדה לגבי הגבלת בנייה עירונית וניצול קרקעות לטובת האדם כך שעמדתם של הבנים חיובית יותר מאשר זו של הבנות.
לבדיקת ההשערה שימצאו הבדלים בין בנים לבנות בעמדותיהם לגבי הגבלת בנייה עירונית וניצול קרקעות לטובת האדם בוצע מבחן t דו כיווני למדגמים בלתי תלויים. להלן התוצאות:
</t>
  </si>
  <si>
    <t>חיבור מילה בשתי שורות</t>
  </si>
  <si>
    <t xml:space="preserve">קיקה ברא״ז מאפיינת את הגישה שלה לטיפולוגיה אינטגרטיבית ומכנה אותה כ"פארק אורבני". הפארק האורבני למעשה מאפשר להנות מיתרונות שני הקצוות (טבע ועיר) וכן משתמש בארכיטקטורה כמגשרת בין צרכיו של היזם (ניצול זכויות הבנייה) לבין הלקוח הסופי (איכות). ברא״ז הציגה את התפיסה העיצובית העומדת בבסיס התכנון של הרצליה הילס בכנס הנדל"ן השנתי בשנת 2014 בעיר אילת. תחת הכותרת של הכנס: "אתגרים בהגדלת זכויות הקרקע בבנייה לגובה" (ברא"ז, 2014), היא מיקמה את הרצליה הילס בתפקיד מרכזי בצומת של שני תקדימי מפתח בהיסטוריה של ארכיטקטורה: (1) רחוב במרכז ברצלונה, המייצג גריד עירוני מורכב בתכנון המהנדס הקטלוגי אילדפונסו סרדה (1859, 2) ,(Ildefonso Cerda) תוכניתו החלוצית-שאפתנית של לה קורבוז״ה כחלק מהעיר 'העכשווית' [ Ville Contemporaine] המייצגת, לדידה של ברא״ז, את הגישה היזמית לציפוף בעזרת מגדלים יחד עם היתרונות של פרטיות, אור ואוורור (איור מסי 29).
האלמנט המרכזי, שמשמש חזית לרחוב הראשי של הרצליה הילס, הוא מבני קומות המסד הצבוע באדום, הצמודים האחד לשני כך שמייצרים חזית המשכית המלווה את הולך הרגל. החזית הזאת משרה על הולך הרגל את תחושת קו ה-0 האורבני אל הרחוב החדש. באיור 29 המתאר את הגישה המתווכת של ארכיטקטורה ב"פארק האורבני" של ברא״ז, ניתן לראות את צביעת החזיתות בברצלונה באדום המסמנת את כוונת האדריכלים להעניק לחזית ההמשכית של הילס את אותם איכויות של הרחוב הקלאסי האירופי. קומות המסד ההמשכיות מכילות את בנייני הבוטיק להם כניסות נפרדות - אינטימיות, וכן דרכם נכנסים גם כן ללובאים המפוארים של מגדלי המגורים (איור מסי 30). הבדלה זו, בין כניסות נחבאות ואינטימיות לבין כניסות מפוארות ומוחצנות עם שומר בכניסה, מפיגה ומשיאה את האינטנסיביות לסירוגין ומעשירה את המגוון.
למעט כביש הגישה העילי המסתעף אל כבשי הכניסה לחניה תת קרקעית משותפת למגורים ולמסחר, אין תנועה רכובה בכל "האי" של הרצליה הילס. גם חניות עיליות כמעט ולא קימות, למעט כמה חניות נכים לצד הדרך הסמוכות למסעדות ומסחר. עובדה זו מייצרת רחובות מוכוונים הולכי רגל שגם הם תומכים בגישה האורבנית הקלאסית.
המירדור [Mirador] הוא סביבת מגורים חדשה נוספת שמטרתה לנסח מחדש צורה אורבנית. כאמור, מיקומו, בפרבר קטן חדש בשולי העיר מדריד בשם סנציינרו [Sanchinarro], הביא לגישה האדריכלית המנוגדת לזו המאפיינת את הפרבר,
בעלת טיפולוגית מגורים משוכפלת הנעדרת מגוון עירוני וכן בעלת מבנים אינטרוברטים שלא מקיימים קשר עם הסביבה.
</t>
  </si>
  <si>
    <t xml:space="preserve">בשפילד, אנגליה (1961-1957) של האדריכלים Jack Lynn &amp; Ivor S. Smith, לדוגמא, אפשר לראות פיתוח נופי תלת ממדי של מרבדי דשא משופעים ומערכת תנועה רגלית רחבת ידיים אשר מייצרת רצף בין בכייני המגורים ונועדה לקדם מפגשים אקראיים בין דיירים יעל הדרך' (איור מסי 49, ראה 1994 ,Glendinning). הופמן ונבו-גולדברשט (2017) מתארים את אימוץ רעיונות אלה בישראל בשנות ה-60, כפיתוח שפה חדשה של אדריכלות נוף מקומית אשר הפכה את המרחב הפתוח ליצירה אדריכלית עצמאית.
מרחבי החוץ המשותפים הרבים של בתי בארי כוללים סדרה של חמישה גנים במגוון גדלים, מערכת שבילים רב מפלסית המחברת בין ארבעת בנייני המגורים, שני אזורי חניה, ודרך שירות היקפית (איור מסי -50 52). תוך ניצול ההפרש הטופוגרפי הנתון של כמאתיים וחמישים סנטימטרים בין הדופן הצפונית של המגרש
</t>
  </si>
  <si>
    <t>Is scanned</t>
  </si>
  <si>
    <t>Is born digital</t>
  </si>
  <si>
    <t>Overall average</t>
  </si>
  <si>
    <t>Scanned average</t>
  </si>
  <si>
    <t>Born digital Average</t>
  </si>
  <si>
    <t>Accuracy average</t>
  </si>
  <si>
    <t>Scanned - Date&lt;1992 (N=17)</t>
  </si>
  <si>
    <t>Is old (&lt;1992)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</si>
</sst>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charset val="177"/>
      <scheme val="minor"/>
    </font>
    <font>
      <sz val="11"/>
      <color theme="1"/>
      <name val="Aptos Narrow"/>
      <family val="2"/>
      <charset val="177"/>
      <scheme val="minor"/>
    </font>
    <font>
      <sz val="10"/>
      <color theme="1"/>
      <name val="Arial Unicode MS"/>
    </font>
    <font>
      <b/>
      <sz val="11"/>
      <color theme="1"/>
      <name val="Aptos Narrow"/>
      <family val="2"/>
      <scheme val="minor"/>
    </font>
  </fonts>
  <fills count="2">
    <fill>
      <patternFill patternType="none"/>
    </fill>
    <fill>
      <patternFill patternType="gray125"/>
    </fill>
  </fills>
  <borders count="5">
    <border>
      <left/>
      <right/>
      <top/>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0" fontId="0" fillId="0" borderId="0" xfId="1" applyNumberFormat="1" applyFont="1"/>
    <xf numFmtId="0" fontId="0" fillId="0" borderId="1" xfId="0" applyBorder="1"/>
    <xf numFmtId="10" fontId="0" fillId="0" borderId="1" xfId="1" applyNumberFormat="1" applyFont="1" applyBorder="1"/>
    <xf numFmtId="10" fontId="2" fillId="0" borderId="0" xfId="1" applyNumberFormat="1" applyFont="1" applyAlignment="1">
      <alignment vertical="center"/>
    </xf>
    <xf numFmtId="0" fontId="0" fillId="0" borderId="2" xfId="0" applyBorder="1"/>
    <xf numFmtId="0" fontId="0" fillId="0" borderId="3" xfId="0" applyBorder="1"/>
    <xf numFmtId="0" fontId="0" fillId="0" borderId="4" xfId="0" applyBorder="1"/>
    <xf numFmtId="10" fontId="0" fillId="0" borderId="4" xfId="0" applyNumberFormat="1" applyBorder="1"/>
    <xf numFmtId="10" fontId="0" fillId="0" borderId="4" xfId="1" applyNumberFormat="1" applyFont="1" applyBorder="1"/>
    <xf numFmtId="0" fontId="3" fillId="0" borderId="4" xfId="0" applyFont="1" applyBorder="1"/>
    <xf numFmtId="10" fontId="0" fillId="0" borderId="4" xfId="1" applyNumberFormat="1" applyFont="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4762B-F4AE-4685-B6ED-6ABAA4408ED9}">
  <dimension ref="A1:W112"/>
  <sheetViews>
    <sheetView rightToLeft="1" tabSelected="1" workbookViewId="0">
      <pane ySplit="1" topLeftCell="A2" activePane="bottomLeft" state="frozen"/>
      <selection pane="bottomLeft"/>
    </sheetView>
  </sheetViews>
  <sheetFormatPr defaultRowHeight="14.25"/>
  <cols>
    <col min="1" max="1" width="24.75" customWidth="1"/>
    <col min="18" max="18" width="25.375" bestFit="1" customWidth="1"/>
    <col min="19" max="19" width="9.125" bestFit="1" customWidth="1"/>
    <col min="20" max="20" width="16.5" style="5" customWidth="1"/>
  </cols>
  <sheetData>
    <row r="1" spans="1:23">
      <c r="A1" t="s">
        <v>0</v>
      </c>
      <c r="B1" t="s">
        <v>1</v>
      </c>
      <c r="C1" t="s">
        <v>2</v>
      </c>
      <c r="D1" t="s">
        <v>3</v>
      </c>
      <c r="E1" t="s">
        <v>4</v>
      </c>
      <c r="F1" t="s">
        <v>5</v>
      </c>
      <c r="G1" t="s">
        <v>6</v>
      </c>
      <c r="H1" t="s">
        <v>7</v>
      </c>
      <c r="I1" t="s">
        <v>8</v>
      </c>
      <c r="J1" t="s">
        <v>9</v>
      </c>
      <c r="K1" t="s">
        <v>10</v>
      </c>
      <c r="L1" t="s">
        <v>11</v>
      </c>
      <c r="M1" t="s">
        <v>319</v>
      </c>
      <c r="N1" t="s">
        <v>320</v>
      </c>
      <c r="O1" t="s">
        <v>321</v>
      </c>
      <c r="P1" t="s">
        <v>334</v>
      </c>
      <c r="Q1" t="s">
        <v>322</v>
      </c>
      <c r="R1" t="s">
        <v>317</v>
      </c>
      <c r="S1" t="s">
        <v>318</v>
      </c>
      <c r="T1" s="5" t="s">
        <v>324</v>
      </c>
      <c r="U1" t="s">
        <v>444</v>
      </c>
      <c r="V1" t="s">
        <v>445</v>
      </c>
      <c r="W1" t="s">
        <v>451</v>
      </c>
    </row>
    <row r="2" spans="1:23">
      <c r="A2" t="s">
        <v>285</v>
      </c>
      <c r="B2" t="s">
        <v>286</v>
      </c>
      <c r="C2" t="s">
        <v>287</v>
      </c>
      <c r="D2">
        <v>1990</v>
      </c>
      <c r="E2" t="s">
        <v>21</v>
      </c>
      <c r="F2" t="s">
        <v>22</v>
      </c>
      <c r="G2">
        <v>2200147</v>
      </c>
      <c r="H2">
        <v>10676</v>
      </c>
      <c r="I2" t="s">
        <v>17</v>
      </c>
      <c r="J2" t="s">
        <v>37</v>
      </c>
      <c r="K2" t="s">
        <v>59</v>
      </c>
      <c r="L2" t="s">
        <v>20</v>
      </c>
      <c r="M2">
        <v>80</v>
      </c>
      <c r="N2">
        <v>224</v>
      </c>
      <c r="O2">
        <v>1359</v>
      </c>
      <c r="P2">
        <v>1144</v>
      </c>
      <c r="Q2">
        <v>2</v>
      </c>
      <c r="R2" s="1">
        <f>(O2-Q2)/O2</f>
        <v>0.9985283296541575</v>
      </c>
      <c r="S2" t="s">
        <v>323</v>
      </c>
      <c r="T2" s="5" t="s">
        <v>330</v>
      </c>
      <c r="U2" s="4">
        <f t="shared" ref="U2:U33" si="0">IF(I2="Scanned", R2, "")</f>
        <v>0.9985283296541575</v>
      </c>
      <c r="V2" s="1" t="str">
        <f t="shared" ref="V2:V33" si="1">IF(I2="Born digital", R2, "")</f>
        <v/>
      </c>
      <c r="W2">
        <f t="shared" ref="W2:W33" si="2">IF(D2&lt;1992, R2, "")</f>
        <v>0.9985283296541575</v>
      </c>
    </row>
    <row r="3" spans="1:23">
      <c r="A3" t="s">
        <v>280</v>
      </c>
      <c r="B3" t="s">
        <v>24</v>
      </c>
      <c r="C3" t="s">
        <v>281</v>
      </c>
      <c r="D3">
        <v>1992</v>
      </c>
      <c r="E3" t="s">
        <v>21</v>
      </c>
      <c r="F3" t="s">
        <v>22</v>
      </c>
      <c r="G3">
        <v>2200022</v>
      </c>
      <c r="H3">
        <v>1960</v>
      </c>
      <c r="I3" t="s">
        <v>17</v>
      </c>
      <c r="J3" t="s">
        <v>37</v>
      </c>
      <c r="K3" t="s">
        <v>59</v>
      </c>
      <c r="L3" t="s">
        <v>20</v>
      </c>
      <c r="M3">
        <v>3</v>
      </c>
      <c r="N3">
        <v>287</v>
      </c>
      <c r="O3">
        <v>1684</v>
      </c>
      <c r="P3">
        <v>1404</v>
      </c>
      <c r="Q3">
        <v>2</v>
      </c>
      <c r="R3" s="1">
        <f>(O3-Q3)/O3</f>
        <v>0.99881235154394299</v>
      </c>
      <c r="S3" t="s">
        <v>327</v>
      </c>
      <c r="T3" s="5" t="s">
        <v>330</v>
      </c>
      <c r="U3" s="4">
        <f t="shared" si="0"/>
        <v>0.99881235154394299</v>
      </c>
      <c r="V3" s="1" t="str">
        <f t="shared" si="1"/>
        <v/>
      </c>
      <c r="W3" t="str">
        <f t="shared" si="2"/>
        <v/>
      </c>
    </row>
    <row r="4" spans="1:23">
      <c r="A4" t="s">
        <v>221</v>
      </c>
      <c r="B4" t="s">
        <v>194</v>
      </c>
      <c r="C4" t="s">
        <v>78</v>
      </c>
      <c r="D4">
        <v>2005</v>
      </c>
      <c r="E4" t="s">
        <v>21</v>
      </c>
      <c r="F4" t="s">
        <v>22</v>
      </c>
      <c r="G4">
        <v>1200062</v>
      </c>
      <c r="H4">
        <v>743</v>
      </c>
      <c r="I4" t="s">
        <v>23</v>
      </c>
      <c r="J4" t="s">
        <v>34</v>
      </c>
      <c r="K4" t="s">
        <v>21</v>
      </c>
      <c r="L4" t="s">
        <v>20</v>
      </c>
      <c r="M4">
        <v>1</v>
      </c>
      <c r="N4">
        <v>375</v>
      </c>
      <c r="O4">
        <v>2295</v>
      </c>
      <c r="P4">
        <v>1924</v>
      </c>
      <c r="Q4">
        <v>2</v>
      </c>
      <c r="R4" s="1">
        <f t="shared" ref="R4:R67" si="3">(O4-Q4)/O4</f>
        <v>0.99912854030501086</v>
      </c>
      <c r="S4" t="s">
        <v>329</v>
      </c>
      <c r="T4" s="5" t="s">
        <v>330</v>
      </c>
      <c r="U4" s="4" t="str">
        <f t="shared" si="0"/>
        <v/>
      </c>
      <c r="V4" s="1">
        <f t="shared" si="1"/>
        <v>0.99912854030501086</v>
      </c>
      <c r="W4" t="str">
        <f t="shared" si="2"/>
        <v/>
      </c>
    </row>
    <row r="5" spans="1:23">
      <c r="A5" t="s">
        <v>121</v>
      </c>
      <c r="B5" t="s">
        <v>73</v>
      </c>
      <c r="C5" t="s">
        <v>122</v>
      </c>
      <c r="D5">
        <v>2014</v>
      </c>
      <c r="E5" t="s">
        <v>21</v>
      </c>
      <c r="F5" t="s">
        <v>22</v>
      </c>
      <c r="G5">
        <v>1200005</v>
      </c>
      <c r="H5">
        <v>22727</v>
      </c>
      <c r="I5" t="s">
        <v>23</v>
      </c>
      <c r="J5" t="s">
        <v>32</v>
      </c>
      <c r="K5" t="s">
        <v>21</v>
      </c>
      <c r="L5" t="s">
        <v>20</v>
      </c>
      <c r="M5">
        <v>49</v>
      </c>
      <c r="N5">
        <v>352</v>
      </c>
      <c r="O5">
        <v>2052</v>
      </c>
      <c r="P5">
        <v>1705</v>
      </c>
      <c r="Q5">
        <v>0</v>
      </c>
      <c r="R5" s="1">
        <f t="shared" si="3"/>
        <v>1</v>
      </c>
      <c r="S5" t="s">
        <v>331</v>
      </c>
      <c r="T5" s="5" t="s">
        <v>330</v>
      </c>
      <c r="U5" s="4" t="str">
        <f t="shared" si="0"/>
        <v/>
      </c>
      <c r="V5" s="1">
        <f t="shared" si="1"/>
        <v>1</v>
      </c>
      <c r="W5" t="str">
        <f t="shared" si="2"/>
        <v/>
      </c>
    </row>
    <row r="6" spans="1:23">
      <c r="A6" t="s">
        <v>42</v>
      </c>
      <c r="B6" t="s">
        <v>43</v>
      </c>
      <c r="C6" t="s">
        <v>29</v>
      </c>
      <c r="D6">
        <v>2021</v>
      </c>
      <c r="E6" t="s">
        <v>21</v>
      </c>
      <c r="F6" t="s">
        <v>22</v>
      </c>
      <c r="G6">
        <v>1200074</v>
      </c>
      <c r="H6">
        <v>18265</v>
      </c>
      <c r="I6" t="s">
        <v>23</v>
      </c>
      <c r="J6" t="s">
        <v>32</v>
      </c>
      <c r="K6" t="s">
        <v>21</v>
      </c>
      <c r="L6" t="s">
        <v>20</v>
      </c>
      <c r="M6">
        <v>46</v>
      </c>
      <c r="N6">
        <v>267</v>
      </c>
      <c r="O6">
        <v>1516</v>
      </c>
      <c r="P6">
        <v>1271</v>
      </c>
      <c r="Q6">
        <v>0</v>
      </c>
      <c r="R6" s="1">
        <f t="shared" si="3"/>
        <v>1</v>
      </c>
      <c r="S6" t="s">
        <v>332</v>
      </c>
      <c r="T6" s="5" t="s">
        <v>330</v>
      </c>
      <c r="U6" s="4" t="str">
        <f t="shared" si="0"/>
        <v/>
      </c>
      <c r="V6" s="1">
        <f t="shared" si="1"/>
        <v>1</v>
      </c>
      <c r="W6" t="str">
        <f t="shared" si="2"/>
        <v/>
      </c>
    </row>
    <row r="7" spans="1:23">
      <c r="A7" t="s">
        <v>310</v>
      </c>
      <c r="B7" t="s">
        <v>283</v>
      </c>
      <c r="C7" t="s">
        <v>311</v>
      </c>
      <c r="D7">
        <v>1970</v>
      </c>
      <c r="E7" t="s">
        <v>35</v>
      </c>
      <c r="F7" t="s">
        <v>22</v>
      </c>
      <c r="G7">
        <v>2300120</v>
      </c>
      <c r="H7">
        <v>6824</v>
      </c>
      <c r="I7" t="s">
        <v>17</v>
      </c>
      <c r="J7" t="s">
        <v>37</v>
      </c>
      <c r="K7" t="s">
        <v>35</v>
      </c>
      <c r="L7" t="s">
        <v>20</v>
      </c>
      <c r="M7">
        <v>25</v>
      </c>
      <c r="N7">
        <v>280</v>
      </c>
      <c r="O7">
        <v>1648</v>
      </c>
      <c r="P7">
        <v>1378</v>
      </c>
      <c r="Q7">
        <v>2</v>
      </c>
      <c r="R7" s="1">
        <f t="shared" si="3"/>
        <v>0.99878640776699024</v>
      </c>
      <c r="S7" t="s">
        <v>325</v>
      </c>
      <c r="T7" s="5" t="s">
        <v>330</v>
      </c>
      <c r="U7" s="4">
        <f t="shared" si="0"/>
        <v>0.99878640776699024</v>
      </c>
      <c r="V7" s="1" t="str">
        <f t="shared" si="1"/>
        <v/>
      </c>
      <c r="W7">
        <f t="shared" si="2"/>
        <v>0.99878640776699024</v>
      </c>
    </row>
    <row r="8" spans="1:23">
      <c r="A8" t="s">
        <v>308</v>
      </c>
      <c r="B8" t="s">
        <v>254</v>
      </c>
      <c r="C8" t="s">
        <v>282</v>
      </c>
      <c r="D8">
        <v>1972</v>
      </c>
      <c r="E8" t="s">
        <v>35</v>
      </c>
      <c r="F8" t="s">
        <v>22</v>
      </c>
      <c r="G8">
        <v>2300071</v>
      </c>
      <c r="H8">
        <v>8934</v>
      </c>
      <c r="I8" t="s">
        <v>17</v>
      </c>
      <c r="J8" t="s">
        <v>232</v>
      </c>
      <c r="K8" t="s">
        <v>35</v>
      </c>
      <c r="L8" t="s">
        <v>20</v>
      </c>
      <c r="M8">
        <v>26</v>
      </c>
      <c r="N8">
        <v>328</v>
      </c>
      <c r="O8">
        <v>1867</v>
      </c>
      <c r="P8">
        <v>1546</v>
      </c>
      <c r="Q8">
        <v>8</v>
      </c>
      <c r="R8" s="1">
        <f t="shared" si="3"/>
        <v>0.99571505088377077</v>
      </c>
      <c r="S8" t="s">
        <v>326</v>
      </c>
      <c r="T8" s="5" t="s">
        <v>330</v>
      </c>
      <c r="U8" s="4">
        <f t="shared" si="0"/>
        <v>0.99571505088377077</v>
      </c>
      <c r="V8" s="1" t="str">
        <f t="shared" si="1"/>
        <v/>
      </c>
      <c r="W8">
        <f t="shared" si="2"/>
        <v>0.99571505088377077</v>
      </c>
    </row>
    <row r="9" spans="1:23">
      <c r="A9" t="s">
        <v>301</v>
      </c>
      <c r="B9" t="s">
        <v>302</v>
      </c>
      <c r="C9" t="s">
        <v>279</v>
      </c>
      <c r="D9">
        <v>1975</v>
      </c>
      <c r="E9" t="s">
        <v>35</v>
      </c>
      <c r="F9" t="s">
        <v>22</v>
      </c>
      <c r="G9">
        <v>2300099</v>
      </c>
      <c r="H9">
        <v>8237</v>
      </c>
      <c r="I9" t="s">
        <v>17</v>
      </c>
      <c r="J9" t="s">
        <v>37</v>
      </c>
      <c r="K9" t="s">
        <v>35</v>
      </c>
      <c r="L9" t="s">
        <v>20</v>
      </c>
      <c r="M9">
        <v>40</v>
      </c>
      <c r="N9">
        <v>353</v>
      </c>
      <c r="O9">
        <v>2109</v>
      </c>
      <c r="P9">
        <v>1762</v>
      </c>
      <c r="Q9">
        <v>1</v>
      </c>
      <c r="R9" s="1">
        <f t="shared" si="3"/>
        <v>0.99952584163110481</v>
      </c>
      <c r="S9" t="s">
        <v>328</v>
      </c>
      <c r="T9" s="5" t="s">
        <v>330</v>
      </c>
      <c r="U9" s="4">
        <f t="shared" si="0"/>
        <v>0.99952584163110481</v>
      </c>
      <c r="V9" s="1" t="str">
        <f t="shared" si="1"/>
        <v/>
      </c>
      <c r="W9">
        <f t="shared" si="2"/>
        <v>0.99952584163110481</v>
      </c>
    </row>
    <row r="10" spans="1:23">
      <c r="A10" t="s">
        <v>298</v>
      </c>
      <c r="B10" t="s">
        <v>228</v>
      </c>
      <c r="C10" t="s">
        <v>242</v>
      </c>
      <c r="D10">
        <v>1979</v>
      </c>
      <c r="E10" t="s">
        <v>35</v>
      </c>
      <c r="F10" t="s">
        <v>22</v>
      </c>
      <c r="G10">
        <v>2300135</v>
      </c>
      <c r="H10">
        <v>17174</v>
      </c>
      <c r="I10" t="s">
        <v>17</v>
      </c>
      <c r="J10" t="s">
        <v>32</v>
      </c>
      <c r="K10" t="s">
        <v>35</v>
      </c>
      <c r="L10" t="s">
        <v>20</v>
      </c>
      <c r="M10">
        <v>27</v>
      </c>
      <c r="N10">
        <v>367</v>
      </c>
      <c r="O10">
        <v>2076</v>
      </c>
      <c r="P10">
        <v>1718</v>
      </c>
      <c r="Q10">
        <v>2</v>
      </c>
      <c r="R10" s="1">
        <f t="shared" si="3"/>
        <v>0.99903660886319845</v>
      </c>
      <c r="S10" t="s">
        <v>333</v>
      </c>
      <c r="T10" s="5" t="s">
        <v>330</v>
      </c>
      <c r="U10" s="4">
        <f t="shared" si="0"/>
        <v>0.99903660886319845</v>
      </c>
      <c r="V10" s="1" t="str">
        <f t="shared" si="1"/>
        <v/>
      </c>
      <c r="W10">
        <f t="shared" si="2"/>
        <v>0.99903660886319845</v>
      </c>
    </row>
    <row r="11" spans="1:23">
      <c r="A11" t="s">
        <v>292</v>
      </c>
      <c r="B11" t="s">
        <v>45</v>
      </c>
      <c r="C11" t="s">
        <v>46</v>
      </c>
      <c r="D11">
        <v>1983</v>
      </c>
      <c r="E11" t="s">
        <v>35</v>
      </c>
      <c r="F11" t="s">
        <v>22</v>
      </c>
      <c r="G11">
        <v>2300004</v>
      </c>
      <c r="H11">
        <v>19850</v>
      </c>
      <c r="I11" t="s">
        <v>17</v>
      </c>
      <c r="J11" t="s">
        <v>37</v>
      </c>
      <c r="K11" t="s">
        <v>35</v>
      </c>
      <c r="L11" t="s">
        <v>20</v>
      </c>
      <c r="M11">
        <v>34</v>
      </c>
      <c r="N11">
        <v>305</v>
      </c>
      <c r="O11">
        <v>1621</v>
      </c>
      <c r="P11">
        <v>1323</v>
      </c>
      <c r="Q11">
        <v>4</v>
      </c>
      <c r="R11" s="1">
        <f t="shared" si="3"/>
        <v>0.9975323874151758</v>
      </c>
      <c r="S11" t="s">
        <v>335</v>
      </c>
      <c r="T11" s="5" t="s">
        <v>330</v>
      </c>
      <c r="U11" s="4">
        <f t="shared" si="0"/>
        <v>0.9975323874151758</v>
      </c>
      <c r="V11" s="1" t="str">
        <f t="shared" si="1"/>
        <v/>
      </c>
      <c r="W11">
        <f t="shared" si="2"/>
        <v>0.9975323874151758</v>
      </c>
    </row>
    <row r="12" spans="1:23">
      <c r="A12" t="s">
        <v>291</v>
      </c>
      <c r="B12" t="s">
        <v>230</v>
      </c>
      <c r="C12" t="s">
        <v>231</v>
      </c>
      <c r="D12">
        <v>1986</v>
      </c>
      <c r="E12" t="s">
        <v>35</v>
      </c>
      <c r="F12" t="s">
        <v>22</v>
      </c>
      <c r="G12">
        <v>2300057</v>
      </c>
      <c r="H12">
        <v>43424</v>
      </c>
      <c r="I12" t="s">
        <v>17</v>
      </c>
      <c r="J12" t="s">
        <v>37</v>
      </c>
      <c r="K12" t="s">
        <v>35</v>
      </c>
      <c r="L12" t="s">
        <v>20</v>
      </c>
      <c r="M12">
        <v>22</v>
      </c>
      <c r="N12">
        <v>267</v>
      </c>
      <c r="O12">
        <v>1603</v>
      </c>
      <c r="P12">
        <v>1351</v>
      </c>
      <c r="Q12">
        <v>4</v>
      </c>
      <c r="R12" s="1">
        <f t="shared" si="3"/>
        <v>0.99750467872738613</v>
      </c>
      <c r="S12" t="s">
        <v>336</v>
      </c>
      <c r="T12" s="5" t="s">
        <v>330</v>
      </c>
      <c r="U12" s="4">
        <f t="shared" si="0"/>
        <v>0.99750467872738613</v>
      </c>
      <c r="V12" s="1" t="str">
        <f t="shared" si="1"/>
        <v/>
      </c>
      <c r="W12">
        <f t="shared" si="2"/>
        <v>0.99750467872738613</v>
      </c>
    </row>
    <row r="13" spans="1:23">
      <c r="A13" t="s">
        <v>289</v>
      </c>
      <c r="B13" t="s">
        <v>45</v>
      </c>
      <c r="C13" t="s">
        <v>46</v>
      </c>
      <c r="D13">
        <v>1988</v>
      </c>
      <c r="E13" t="s">
        <v>35</v>
      </c>
      <c r="F13" t="s">
        <v>22</v>
      </c>
      <c r="G13">
        <v>2300060</v>
      </c>
      <c r="H13">
        <v>27642</v>
      </c>
      <c r="I13" t="s">
        <v>17</v>
      </c>
      <c r="J13" t="s">
        <v>37</v>
      </c>
      <c r="K13" t="s">
        <v>35</v>
      </c>
      <c r="L13" t="s">
        <v>20</v>
      </c>
      <c r="M13">
        <v>27</v>
      </c>
      <c r="N13">
        <v>222</v>
      </c>
      <c r="O13">
        <v>1317</v>
      </c>
      <c r="P13">
        <v>1105</v>
      </c>
      <c r="Q13">
        <v>4</v>
      </c>
      <c r="R13" s="1">
        <f t="shared" si="3"/>
        <v>0.996962794229309</v>
      </c>
      <c r="S13" t="s">
        <v>337</v>
      </c>
      <c r="T13" s="5" t="s">
        <v>330</v>
      </c>
      <c r="U13" s="4">
        <f t="shared" si="0"/>
        <v>0.996962794229309</v>
      </c>
      <c r="V13" s="1" t="str">
        <f t="shared" si="1"/>
        <v/>
      </c>
      <c r="W13">
        <f t="shared" si="2"/>
        <v>0.996962794229309</v>
      </c>
    </row>
    <row r="14" spans="1:23">
      <c r="A14" t="s">
        <v>288</v>
      </c>
      <c r="B14" t="s">
        <v>254</v>
      </c>
      <c r="C14" t="s">
        <v>31</v>
      </c>
      <c r="D14">
        <v>1989</v>
      </c>
      <c r="E14" t="s">
        <v>35</v>
      </c>
      <c r="F14" t="s">
        <v>22</v>
      </c>
      <c r="G14">
        <v>2300177</v>
      </c>
      <c r="H14">
        <v>55391</v>
      </c>
      <c r="I14" t="s">
        <v>17</v>
      </c>
      <c r="J14" t="s">
        <v>37</v>
      </c>
      <c r="K14" t="s">
        <v>35</v>
      </c>
      <c r="L14" t="s">
        <v>20</v>
      </c>
      <c r="M14">
        <v>16</v>
      </c>
      <c r="N14">
        <v>303</v>
      </c>
      <c r="O14">
        <v>1779</v>
      </c>
      <c r="P14">
        <v>1483</v>
      </c>
      <c r="Q14">
        <v>4</v>
      </c>
      <c r="R14" s="1">
        <f t="shared" si="3"/>
        <v>0.99775154581225411</v>
      </c>
      <c r="S14" t="s">
        <v>338</v>
      </c>
      <c r="T14" s="5" t="s">
        <v>330</v>
      </c>
      <c r="U14" s="4">
        <f t="shared" si="0"/>
        <v>0.99775154581225411</v>
      </c>
      <c r="V14" s="1" t="str">
        <f t="shared" si="1"/>
        <v/>
      </c>
      <c r="W14">
        <f t="shared" si="2"/>
        <v>0.99775154581225411</v>
      </c>
    </row>
    <row r="15" spans="1:23">
      <c r="A15" t="s">
        <v>278</v>
      </c>
      <c r="B15" t="s">
        <v>230</v>
      </c>
      <c r="C15" t="s">
        <v>231</v>
      </c>
      <c r="D15">
        <v>1992</v>
      </c>
      <c r="E15" t="s">
        <v>35</v>
      </c>
      <c r="F15" t="s">
        <v>22</v>
      </c>
      <c r="G15">
        <v>1300023</v>
      </c>
      <c r="H15">
        <v>6445</v>
      </c>
      <c r="I15" t="s">
        <v>23</v>
      </c>
      <c r="J15" t="s">
        <v>27</v>
      </c>
      <c r="K15" t="s">
        <v>35</v>
      </c>
      <c r="L15" t="s">
        <v>20</v>
      </c>
      <c r="M15">
        <v>19</v>
      </c>
      <c r="N15">
        <v>180</v>
      </c>
      <c r="O15">
        <v>1186</v>
      </c>
      <c r="P15">
        <v>1015</v>
      </c>
      <c r="Q15">
        <v>19</v>
      </c>
      <c r="R15" s="1">
        <f t="shared" si="3"/>
        <v>0.98397976391231023</v>
      </c>
      <c r="S15" t="s">
        <v>339</v>
      </c>
      <c r="T15" s="5" t="s">
        <v>330</v>
      </c>
      <c r="U15" s="4" t="str">
        <f t="shared" si="0"/>
        <v/>
      </c>
      <c r="V15" s="1">
        <f t="shared" si="1"/>
        <v>0.98397976391231023</v>
      </c>
      <c r="W15" t="str">
        <f t="shared" si="2"/>
        <v/>
      </c>
    </row>
    <row r="16" spans="1:23">
      <c r="A16" t="s">
        <v>271</v>
      </c>
      <c r="B16" t="s">
        <v>233</v>
      </c>
      <c r="C16" t="s">
        <v>199</v>
      </c>
      <c r="D16">
        <v>1993</v>
      </c>
      <c r="E16" t="s">
        <v>35</v>
      </c>
      <c r="F16" t="s">
        <v>22</v>
      </c>
      <c r="G16">
        <v>2300100</v>
      </c>
      <c r="H16">
        <v>26153</v>
      </c>
      <c r="I16" t="s">
        <v>17</v>
      </c>
      <c r="J16" t="s">
        <v>37</v>
      </c>
      <c r="K16" t="s">
        <v>35</v>
      </c>
      <c r="L16" t="s">
        <v>20</v>
      </c>
      <c r="M16">
        <v>69</v>
      </c>
      <c r="N16">
        <v>266</v>
      </c>
      <c r="O16">
        <v>1592</v>
      </c>
      <c r="P16">
        <v>1327</v>
      </c>
      <c r="Q16">
        <v>0</v>
      </c>
      <c r="R16" s="1">
        <f t="shared" si="3"/>
        <v>1</v>
      </c>
      <c r="S16" t="s">
        <v>340</v>
      </c>
      <c r="T16" s="5" t="s">
        <v>330</v>
      </c>
      <c r="U16" s="4">
        <f t="shared" si="0"/>
        <v>1</v>
      </c>
      <c r="V16" s="1" t="str">
        <f t="shared" si="1"/>
        <v/>
      </c>
      <c r="W16" t="str">
        <f t="shared" si="2"/>
        <v/>
      </c>
    </row>
    <row r="17" spans="1:23">
      <c r="A17" t="s">
        <v>259</v>
      </c>
      <c r="B17" t="s">
        <v>260</v>
      </c>
      <c r="C17" t="s">
        <v>261</v>
      </c>
      <c r="D17">
        <v>1996</v>
      </c>
      <c r="E17" t="s">
        <v>35</v>
      </c>
      <c r="F17" t="s">
        <v>22</v>
      </c>
      <c r="G17">
        <v>2300127</v>
      </c>
      <c r="H17">
        <v>7349</v>
      </c>
      <c r="I17" t="s">
        <v>17</v>
      </c>
      <c r="J17" t="s">
        <v>85</v>
      </c>
      <c r="K17" t="s">
        <v>35</v>
      </c>
      <c r="L17" t="s">
        <v>20</v>
      </c>
      <c r="M17">
        <v>14</v>
      </c>
      <c r="N17">
        <v>325</v>
      </c>
      <c r="O17">
        <v>1850</v>
      </c>
      <c r="P17">
        <v>1533</v>
      </c>
      <c r="Q17">
        <v>3</v>
      </c>
      <c r="R17" s="1">
        <f t="shared" si="3"/>
        <v>0.99837837837837839</v>
      </c>
      <c r="S17" t="s">
        <v>341</v>
      </c>
      <c r="T17" s="5" t="s">
        <v>330</v>
      </c>
      <c r="U17" s="4">
        <f t="shared" si="0"/>
        <v>0.99837837837837839</v>
      </c>
      <c r="V17" s="1" t="str">
        <f t="shared" si="1"/>
        <v/>
      </c>
      <c r="W17" t="str">
        <f t="shared" si="2"/>
        <v/>
      </c>
    </row>
    <row r="18" spans="1:23">
      <c r="A18" t="s">
        <v>253</v>
      </c>
      <c r="B18" t="s">
        <v>158</v>
      </c>
      <c r="C18" t="s">
        <v>25</v>
      </c>
      <c r="D18">
        <v>1997</v>
      </c>
      <c r="E18" t="s">
        <v>35</v>
      </c>
      <c r="F18" t="s">
        <v>22</v>
      </c>
      <c r="G18">
        <v>2300018</v>
      </c>
      <c r="H18">
        <v>7608</v>
      </c>
      <c r="I18" t="s">
        <v>17</v>
      </c>
      <c r="J18" t="s">
        <v>37</v>
      </c>
      <c r="K18" t="s">
        <v>35</v>
      </c>
      <c r="L18" t="s">
        <v>20</v>
      </c>
      <c r="M18">
        <v>1</v>
      </c>
      <c r="N18">
        <v>385</v>
      </c>
      <c r="O18">
        <v>2427</v>
      </c>
      <c r="P18">
        <v>2049</v>
      </c>
      <c r="Q18">
        <v>0</v>
      </c>
      <c r="R18" s="1">
        <f t="shared" si="3"/>
        <v>1</v>
      </c>
      <c r="S18" t="s">
        <v>342</v>
      </c>
      <c r="T18" s="5" t="s">
        <v>330</v>
      </c>
      <c r="U18" s="4">
        <f t="shared" si="0"/>
        <v>1</v>
      </c>
      <c r="V18" s="1" t="str">
        <f t="shared" si="1"/>
        <v/>
      </c>
      <c r="W18" t="str">
        <f t="shared" si="2"/>
        <v/>
      </c>
    </row>
    <row r="19" spans="1:23">
      <c r="A19" t="s">
        <v>243</v>
      </c>
      <c r="B19" t="s">
        <v>118</v>
      </c>
      <c r="C19" t="s">
        <v>244</v>
      </c>
      <c r="D19">
        <v>1998</v>
      </c>
      <c r="E19" t="s">
        <v>35</v>
      </c>
      <c r="F19" t="s">
        <v>22</v>
      </c>
      <c r="G19">
        <v>1300026</v>
      </c>
      <c r="H19">
        <v>12474</v>
      </c>
      <c r="I19" t="s">
        <v>23</v>
      </c>
      <c r="J19" t="s">
        <v>27</v>
      </c>
      <c r="K19" t="s">
        <v>35</v>
      </c>
      <c r="L19" t="s">
        <v>20</v>
      </c>
      <c r="M19">
        <v>22</v>
      </c>
      <c r="N19">
        <v>393</v>
      </c>
      <c r="O19">
        <v>2515</v>
      </c>
      <c r="P19">
        <v>2127</v>
      </c>
      <c r="Q19">
        <v>2</v>
      </c>
      <c r="R19" s="1">
        <f t="shared" si="3"/>
        <v>0.99920477137176933</v>
      </c>
      <c r="S19" t="s">
        <v>343</v>
      </c>
      <c r="T19" s="5" t="s">
        <v>330</v>
      </c>
      <c r="U19" s="4" t="str">
        <f t="shared" si="0"/>
        <v/>
      </c>
      <c r="V19" s="1">
        <f t="shared" si="1"/>
        <v>0.99920477137176933</v>
      </c>
      <c r="W19" t="str">
        <f t="shared" si="2"/>
        <v/>
      </c>
    </row>
    <row r="20" spans="1:23">
      <c r="A20" t="s">
        <v>248</v>
      </c>
      <c r="B20" t="s">
        <v>55</v>
      </c>
      <c r="C20" t="s">
        <v>249</v>
      </c>
      <c r="D20">
        <v>1998</v>
      </c>
      <c r="E20" t="s">
        <v>35</v>
      </c>
      <c r="F20" t="s">
        <v>22</v>
      </c>
      <c r="G20">
        <v>2300144</v>
      </c>
      <c r="H20">
        <v>35827</v>
      </c>
      <c r="I20" t="s">
        <v>17</v>
      </c>
      <c r="J20" t="s">
        <v>37</v>
      </c>
      <c r="K20" t="s">
        <v>35</v>
      </c>
      <c r="L20" t="s">
        <v>20</v>
      </c>
      <c r="M20">
        <v>92</v>
      </c>
      <c r="N20">
        <v>217</v>
      </c>
      <c r="O20">
        <v>1346</v>
      </c>
      <c r="P20">
        <v>1144</v>
      </c>
      <c r="Q20">
        <v>2</v>
      </c>
      <c r="R20" s="1">
        <f t="shared" si="3"/>
        <v>0.99851411589895989</v>
      </c>
      <c r="S20" t="s">
        <v>344</v>
      </c>
      <c r="T20" s="5" t="s">
        <v>330</v>
      </c>
      <c r="U20" s="4">
        <f t="shared" si="0"/>
        <v>0.99851411589895989</v>
      </c>
      <c r="V20" s="1" t="str">
        <f t="shared" si="1"/>
        <v/>
      </c>
      <c r="W20" t="str">
        <f t="shared" si="2"/>
        <v/>
      </c>
    </row>
    <row r="21" spans="1:23">
      <c r="A21" t="s">
        <v>241</v>
      </c>
      <c r="B21" t="s">
        <v>228</v>
      </c>
      <c r="C21" t="s">
        <v>242</v>
      </c>
      <c r="D21">
        <v>1999</v>
      </c>
      <c r="E21" t="s">
        <v>35</v>
      </c>
      <c r="F21" t="s">
        <v>22</v>
      </c>
      <c r="G21">
        <v>2300093</v>
      </c>
      <c r="H21">
        <v>8077</v>
      </c>
      <c r="I21" t="s">
        <v>17</v>
      </c>
      <c r="J21" t="s">
        <v>37</v>
      </c>
      <c r="K21" t="s">
        <v>35</v>
      </c>
      <c r="L21" t="s">
        <v>20</v>
      </c>
      <c r="M21">
        <v>4</v>
      </c>
      <c r="N21">
        <v>176</v>
      </c>
      <c r="O21">
        <v>996</v>
      </c>
      <c r="P21">
        <v>832</v>
      </c>
      <c r="Q21">
        <v>6</v>
      </c>
      <c r="R21" s="1">
        <f t="shared" si="3"/>
        <v>0.99397590361445787</v>
      </c>
      <c r="S21" t="s">
        <v>345</v>
      </c>
      <c r="T21" s="5" t="s">
        <v>330</v>
      </c>
      <c r="U21" s="4">
        <f t="shared" si="0"/>
        <v>0.99397590361445787</v>
      </c>
      <c r="V21" s="1" t="str">
        <f t="shared" si="1"/>
        <v/>
      </c>
      <c r="W21" t="str">
        <f t="shared" si="2"/>
        <v/>
      </c>
    </row>
    <row r="22" spans="1:23">
      <c r="A22" t="s">
        <v>224</v>
      </c>
      <c r="B22" t="s">
        <v>45</v>
      </c>
      <c r="C22" t="s">
        <v>46</v>
      </c>
      <c r="D22">
        <v>2004</v>
      </c>
      <c r="E22" t="s">
        <v>35</v>
      </c>
      <c r="F22" t="s">
        <v>22</v>
      </c>
      <c r="G22">
        <v>2300186</v>
      </c>
      <c r="H22">
        <v>30333</v>
      </c>
      <c r="I22" t="s">
        <v>17</v>
      </c>
      <c r="J22" t="s">
        <v>37</v>
      </c>
      <c r="K22" t="s">
        <v>35</v>
      </c>
      <c r="L22" t="s">
        <v>20</v>
      </c>
      <c r="M22">
        <v>42</v>
      </c>
      <c r="N22">
        <v>328</v>
      </c>
      <c r="O22">
        <v>1937</v>
      </c>
      <c r="P22">
        <v>1621</v>
      </c>
      <c r="Q22">
        <v>3</v>
      </c>
      <c r="R22" s="1">
        <f t="shared" si="3"/>
        <v>0.99845121321631392</v>
      </c>
      <c r="S22" t="s">
        <v>346</v>
      </c>
      <c r="T22" s="5" t="s">
        <v>330</v>
      </c>
      <c r="U22" s="4">
        <f t="shared" si="0"/>
        <v>0.99845121321631392</v>
      </c>
      <c r="V22" s="1" t="str">
        <f t="shared" si="1"/>
        <v/>
      </c>
      <c r="W22" t="str">
        <f t="shared" si="2"/>
        <v/>
      </c>
    </row>
    <row r="23" spans="1:23">
      <c r="A23" t="s">
        <v>212</v>
      </c>
      <c r="B23" t="s">
        <v>162</v>
      </c>
      <c r="C23" t="s">
        <v>25</v>
      </c>
      <c r="D23">
        <v>2007</v>
      </c>
      <c r="E23" t="s">
        <v>35</v>
      </c>
      <c r="F23" t="s">
        <v>22</v>
      </c>
      <c r="G23">
        <v>2300038</v>
      </c>
      <c r="H23">
        <v>11097</v>
      </c>
      <c r="I23" t="s">
        <v>17</v>
      </c>
      <c r="J23" t="s">
        <v>37</v>
      </c>
      <c r="K23" t="s">
        <v>35</v>
      </c>
      <c r="L23" t="s">
        <v>20</v>
      </c>
      <c r="M23">
        <v>21</v>
      </c>
      <c r="N23">
        <v>415</v>
      </c>
      <c r="O23">
        <v>2690</v>
      </c>
      <c r="P23">
        <v>2280</v>
      </c>
      <c r="Q23">
        <v>2</v>
      </c>
      <c r="R23" s="1">
        <f t="shared" si="3"/>
        <v>0.99925650557620815</v>
      </c>
      <c r="S23" t="s">
        <v>347</v>
      </c>
      <c r="T23" s="5" t="s">
        <v>330</v>
      </c>
      <c r="U23" s="4">
        <f t="shared" si="0"/>
        <v>0.99925650557620815</v>
      </c>
      <c r="V23" s="1" t="str">
        <f t="shared" si="1"/>
        <v/>
      </c>
      <c r="W23" t="str">
        <f t="shared" si="2"/>
        <v/>
      </c>
    </row>
    <row r="24" spans="1:23">
      <c r="A24" t="s">
        <v>191</v>
      </c>
      <c r="B24" t="s">
        <v>192</v>
      </c>
      <c r="C24" t="s">
        <v>193</v>
      </c>
      <c r="D24">
        <v>2008</v>
      </c>
      <c r="E24" t="s">
        <v>35</v>
      </c>
      <c r="F24" t="s">
        <v>22</v>
      </c>
      <c r="G24">
        <v>2300138</v>
      </c>
      <c r="H24">
        <v>62589</v>
      </c>
      <c r="I24" t="s">
        <v>17</v>
      </c>
      <c r="J24" t="s">
        <v>37</v>
      </c>
      <c r="K24" t="s">
        <v>35</v>
      </c>
      <c r="L24" t="s">
        <v>20</v>
      </c>
      <c r="M24">
        <v>53</v>
      </c>
      <c r="N24">
        <v>523</v>
      </c>
      <c r="O24">
        <v>3064</v>
      </c>
      <c r="P24">
        <v>2544</v>
      </c>
      <c r="Q24">
        <v>0</v>
      </c>
      <c r="R24" s="1">
        <f t="shared" si="3"/>
        <v>1</v>
      </c>
      <c r="S24" t="s">
        <v>348</v>
      </c>
      <c r="T24" s="5" t="s">
        <v>330</v>
      </c>
      <c r="U24" s="4">
        <f t="shared" si="0"/>
        <v>1</v>
      </c>
      <c r="V24" s="1" t="str">
        <f t="shared" si="1"/>
        <v/>
      </c>
      <c r="W24" t="str">
        <f t="shared" si="2"/>
        <v/>
      </c>
    </row>
    <row r="25" spans="1:23">
      <c r="A25" t="s">
        <v>164</v>
      </c>
      <c r="B25" t="s">
        <v>45</v>
      </c>
      <c r="C25" t="s">
        <v>46</v>
      </c>
      <c r="D25">
        <v>2009</v>
      </c>
      <c r="E25" t="s">
        <v>35</v>
      </c>
      <c r="F25" t="s">
        <v>22</v>
      </c>
      <c r="G25">
        <v>2300087</v>
      </c>
      <c r="H25">
        <v>59257</v>
      </c>
      <c r="I25" t="s">
        <v>17</v>
      </c>
      <c r="J25" t="s">
        <v>37</v>
      </c>
      <c r="K25" t="s">
        <v>35</v>
      </c>
      <c r="L25" t="s">
        <v>20</v>
      </c>
      <c r="M25">
        <v>23</v>
      </c>
      <c r="N25">
        <v>386</v>
      </c>
      <c r="O25">
        <v>2394</v>
      </c>
      <c r="P25">
        <v>2023</v>
      </c>
      <c r="Q25">
        <v>9</v>
      </c>
      <c r="R25" s="1">
        <f t="shared" si="3"/>
        <v>0.99624060150375937</v>
      </c>
      <c r="S25" t="s">
        <v>363</v>
      </c>
      <c r="T25" s="5" t="s">
        <v>364</v>
      </c>
      <c r="U25" s="4">
        <f t="shared" si="0"/>
        <v>0.99624060150375937</v>
      </c>
      <c r="V25" s="1" t="str">
        <f t="shared" si="1"/>
        <v/>
      </c>
      <c r="W25" t="str">
        <f t="shared" si="2"/>
        <v/>
      </c>
    </row>
    <row r="26" spans="1:23">
      <c r="A26" t="s">
        <v>130</v>
      </c>
      <c r="B26" t="s">
        <v>131</v>
      </c>
      <c r="C26" t="s">
        <v>132</v>
      </c>
      <c r="D26">
        <v>2013</v>
      </c>
      <c r="E26" t="s">
        <v>35</v>
      </c>
      <c r="F26" t="s">
        <v>22</v>
      </c>
      <c r="G26">
        <v>2300134</v>
      </c>
      <c r="H26">
        <v>23519</v>
      </c>
      <c r="I26" t="s">
        <v>17</v>
      </c>
      <c r="J26" t="s">
        <v>37</v>
      </c>
      <c r="K26" t="s">
        <v>35</v>
      </c>
      <c r="L26" t="s">
        <v>20</v>
      </c>
      <c r="M26">
        <v>27</v>
      </c>
      <c r="N26">
        <v>286</v>
      </c>
      <c r="O26">
        <v>1794</v>
      </c>
      <c r="P26">
        <v>1515</v>
      </c>
      <c r="Q26">
        <v>3</v>
      </c>
      <c r="R26" s="1">
        <f t="shared" si="3"/>
        <v>0.99832775919732442</v>
      </c>
      <c r="S26" t="s">
        <v>365</v>
      </c>
      <c r="T26" s="5" t="s">
        <v>366</v>
      </c>
      <c r="U26" s="4">
        <f t="shared" si="0"/>
        <v>0.99832775919732442</v>
      </c>
      <c r="V26" s="1" t="str">
        <f t="shared" si="1"/>
        <v/>
      </c>
      <c r="W26" t="str">
        <f t="shared" si="2"/>
        <v/>
      </c>
    </row>
    <row r="27" spans="1:23">
      <c r="A27" t="s">
        <v>129</v>
      </c>
      <c r="B27" t="s">
        <v>90</v>
      </c>
      <c r="C27" t="s">
        <v>58</v>
      </c>
      <c r="D27">
        <v>2014</v>
      </c>
      <c r="E27" t="s">
        <v>35</v>
      </c>
      <c r="F27" t="s">
        <v>22</v>
      </c>
      <c r="G27">
        <v>2300109</v>
      </c>
      <c r="H27">
        <v>24209</v>
      </c>
      <c r="I27" t="s">
        <v>17</v>
      </c>
      <c r="J27" t="s">
        <v>37</v>
      </c>
      <c r="K27" t="s">
        <v>35</v>
      </c>
      <c r="L27" t="s">
        <v>20</v>
      </c>
      <c r="M27">
        <v>71</v>
      </c>
      <c r="N27">
        <v>428</v>
      </c>
      <c r="O27">
        <v>2492</v>
      </c>
      <c r="P27">
        <v>2071</v>
      </c>
      <c r="Q27">
        <v>2</v>
      </c>
      <c r="R27" s="1">
        <f t="shared" si="3"/>
        <v>0.9991974317817014</v>
      </c>
      <c r="S27" t="s">
        <v>367</v>
      </c>
      <c r="T27" s="5">
        <v>1</v>
      </c>
      <c r="U27" s="4">
        <f t="shared" si="0"/>
        <v>0.9991974317817014</v>
      </c>
      <c r="V27" s="1" t="str">
        <f t="shared" si="1"/>
        <v/>
      </c>
      <c r="W27" t="str">
        <f t="shared" si="2"/>
        <v/>
      </c>
    </row>
    <row r="28" spans="1:23">
      <c r="A28" t="s">
        <v>74</v>
      </c>
      <c r="B28" t="s">
        <v>75</v>
      </c>
      <c r="C28" t="s">
        <v>76</v>
      </c>
      <c r="D28">
        <v>2019</v>
      </c>
      <c r="E28" t="s">
        <v>35</v>
      </c>
      <c r="F28" t="s">
        <v>22</v>
      </c>
      <c r="G28">
        <v>1300011</v>
      </c>
      <c r="H28">
        <v>31168</v>
      </c>
      <c r="I28" t="s">
        <v>23</v>
      </c>
      <c r="J28" t="s">
        <v>27</v>
      </c>
      <c r="K28" t="s">
        <v>35</v>
      </c>
      <c r="L28" t="s">
        <v>20</v>
      </c>
      <c r="M28">
        <v>33</v>
      </c>
      <c r="N28">
        <v>309</v>
      </c>
      <c r="O28">
        <v>2026</v>
      </c>
      <c r="P28">
        <v>1721</v>
      </c>
      <c r="Q28">
        <v>0</v>
      </c>
      <c r="R28" s="1">
        <f t="shared" si="3"/>
        <v>1</v>
      </c>
      <c r="S28" t="s">
        <v>368</v>
      </c>
      <c r="T28" s="5">
        <v>1</v>
      </c>
      <c r="U28" s="4" t="str">
        <f t="shared" si="0"/>
        <v/>
      </c>
      <c r="V28" s="1">
        <f t="shared" si="1"/>
        <v>1</v>
      </c>
      <c r="W28" t="str">
        <f t="shared" si="2"/>
        <v/>
      </c>
    </row>
    <row r="29" spans="1:23">
      <c r="A29" t="s">
        <v>72</v>
      </c>
      <c r="B29" t="s">
        <v>56</v>
      </c>
      <c r="C29" t="s">
        <v>57</v>
      </c>
      <c r="D29">
        <v>2020</v>
      </c>
      <c r="E29" t="s">
        <v>35</v>
      </c>
      <c r="F29" t="s">
        <v>22</v>
      </c>
      <c r="G29">
        <v>2300111</v>
      </c>
      <c r="H29">
        <v>28758</v>
      </c>
      <c r="I29" t="s">
        <v>17</v>
      </c>
      <c r="J29" t="s">
        <v>37</v>
      </c>
      <c r="K29" t="s">
        <v>35</v>
      </c>
      <c r="L29" t="s">
        <v>20</v>
      </c>
      <c r="M29">
        <v>1</v>
      </c>
      <c r="N29">
        <v>211</v>
      </c>
      <c r="O29">
        <v>1337</v>
      </c>
      <c r="P29">
        <v>1130</v>
      </c>
      <c r="Q29">
        <v>4</v>
      </c>
      <c r="R29" s="1">
        <f t="shared" si="3"/>
        <v>0.9970082273747195</v>
      </c>
      <c r="S29" t="s">
        <v>369</v>
      </c>
      <c r="T29" s="5" t="s">
        <v>370</v>
      </c>
      <c r="U29" s="4">
        <f t="shared" si="0"/>
        <v>0.9970082273747195</v>
      </c>
      <c r="V29" s="1" t="str">
        <f t="shared" si="1"/>
        <v/>
      </c>
      <c r="W29" t="str">
        <f t="shared" si="2"/>
        <v/>
      </c>
    </row>
    <row r="30" spans="1:23">
      <c r="A30" t="s">
        <v>245</v>
      </c>
      <c r="B30" t="s">
        <v>246</v>
      </c>
      <c r="C30" t="s">
        <v>247</v>
      </c>
      <c r="D30">
        <v>1998</v>
      </c>
      <c r="E30" t="s">
        <v>28</v>
      </c>
      <c r="F30" t="s">
        <v>30</v>
      </c>
      <c r="G30">
        <v>1400030</v>
      </c>
      <c r="H30">
        <v>18317</v>
      </c>
      <c r="I30" t="s">
        <v>23</v>
      </c>
      <c r="J30" t="s">
        <v>27</v>
      </c>
      <c r="K30" t="s">
        <v>28</v>
      </c>
      <c r="L30" t="s">
        <v>20</v>
      </c>
      <c r="M30">
        <v>27</v>
      </c>
      <c r="N30">
        <v>323</v>
      </c>
      <c r="O30">
        <v>1919</v>
      </c>
      <c r="P30">
        <v>1608</v>
      </c>
      <c r="Q30">
        <v>0</v>
      </c>
      <c r="R30" s="1">
        <f t="shared" si="3"/>
        <v>1</v>
      </c>
      <c r="S30" t="s">
        <v>349</v>
      </c>
      <c r="T30" s="5" t="s">
        <v>330</v>
      </c>
      <c r="U30" s="4" t="str">
        <f t="shared" si="0"/>
        <v/>
      </c>
      <c r="V30" s="1">
        <f t="shared" si="1"/>
        <v>1</v>
      </c>
      <c r="W30" t="str">
        <f t="shared" si="2"/>
        <v/>
      </c>
    </row>
    <row r="31" spans="1:23">
      <c r="A31" t="s">
        <v>216</v>
      </c>
      <c r="B31" t="s">
        <v>217</v>
      </c>
      <c r="C31" t="s">
        <v>218</v>
      </c>
      <c r="D31">
        <v>2006</v>
      </c>
      <c r="E31" t="s">
        <v>26</v>
      </c>
      <c r="F31" t="s">
        <v>27</v>
      </c>
      <c r="G31">
        <v>1400043</v>
      </c>
      <c r="H31">
        <v>9189</v>
      </c>
      <c r="I31" t="s">
        <v>23</v>
      </c>
      <c r="J31" t="s">
        <v>27</v>
      </c>
      <c r="K31" t="s">
        <v>28</v>
      </c>
      <c r="L31" t="s">
        <v>20</v>
      </c>
      <c r="M31">
        <v>19</v>
      </c>
      <c r="N31">
        <v>361</v>
      </c>
      <c r="O31">
        <v>2156</v>
      </c>
      <c r="P31">
        <v>1803</v>
      </c>
      <c r="Q31">
        <v>1</v>
      </c>
      <c r="R31" s="1">
        <f t="shared" si="3"/>
        <v>0.99953617810760664</v>
      </c>
      <c r="S31" t="s">
        <v>371</v>
      </c>
      <c r="T31" s="5">
        <v>1</v>
      </c>
      <c r="U31" s="4" t="str">
        <f t="shared" si="0"/>
        <v/>
      </c>
      <c r="V31" s="1">
        <f t="shared" si="1"/>
        <v>0.99953617810760664</v>
      </c>
      <c r="W31" t="str">
        <f t="shared" si="2"/>
        <v/>
      </c>
    </row>
    <row r="32" spans="1:23">
      <c r="A32" t="s">
        <v>116</v>
      </c>
      <c r="B32" t="s">
        <v>117</v>
      </c>
      <c r="C32" t="s">
        <v>94</v>
      </c>
      <c r="D32">
        <v>2015</v>
      </c>
      <c r="E32" t="s">
        <v>28</v>
      </c>
      <c r="F32" t="s">
        <v>27</v>
      </c>
      <c r="G32">
        <v>1400008</v>
      </c>
      <c r="H32">
        <v>8453</v>
      </c>
      <c r="I32" t="s">
        <v>23</v>
      </c>
      <c r="J32" t="s">
        <v>27</v>
      </c>
      <c r="K32" t="s">
        <v>28</v>
      </c>
      <c r="L32" t="s">
        <v>20</v>
      </c>
      <c r="M32">
        <v>22</v>
      </c>
      <c r="N32">
        <v>436</v>
      </c>
      <c r="O32">
        <v>2861</v>
      </c>
      <c r="P32">
        <v>2443</v>
      </c>
      <c r="Q32">
        <v>12</v>
      </c>
      <c r="R32" s="1">
        <f t="shared" si="3"/>
        <v>0.99580566235581969</v>
      </c>
      <c r="S32" t="s">
        <v>372</v>
      </c>
      <c r="T32" s="5" t="s">
        <v>373</v>
      </c>
      <c r="U32" s="4" t="str">
        <f t="shared" si="0"/>
        <v/>
      </c>
      <c r="V32" s="1">
        <f t="shared" si="1"/>
        <v>0.99580566235581969</v>
      </c>
      <c r="W32" t="str">
        <f t="shared" si="2"/>
        <v/>
      </c>
    </row>
    <row r="33" spans="1:23">
      <c r="A33" t="s">
        <v>38</v>
      </c>
      <c r="B33" t="s">
        <v>39</v>
      </c>
      <c r="C33" t="s">
        <v>40</v>
      </c>
      <c r="D33">
        <v>2022</v>
      </c>
      <c r="E33" t="s">
        <v>26</v>
      </c>
      <c r="F33" t="s">
        <v>27</v>
      </c>
      <c r="G33">
        <v>1400084</v>
      </c>
      <c r="H33">
        <v>1295</v>
      </c>
      <c r="I33" t="s">
        <v>23</v>
      </c>
      <c r="J33" t="s">
        <v>27</v>
      </c>
      <c r="K33" t="s">
        <v>28</v>
      </c>
      <c r="L33" t="s">
        <v>20</v>
      </c>
      <c r="M33">
        <v>2</v>
      </c>
      <c r="N33">
        <v>243</v>
      </c>
      <c r="O33">
        <v>1475</v>
      </c>
      <c r="P33">
        <v>1252</v>
      </c>
      <c r="Q33">
        <v>0</v>
      </c>
      <c r="R33" s="1">
        <f t="shared" si="3"/>
        <v>1</v>
      </c>
      <c r="S33" t="s">
        <v>374</v>
      </c>
      <c r="T33" s="5">
        <v>1</v>
      </c>
      <c r="U33" s="4" t="str">
        <f t="shared" si="0"/>
        <v/>
      </c>
      <c r="V33" s="1">
        <f t="shared" si="1"/>
        <v>1</v>
      </c>
      <c r="W33" t="str">
        <f t="shared" si="2"/>
        <v/>
      </c>
    </row>
    <row r="34" spans="1:23">
      <c r="A34" t="s">
        <v>312</v>
      </c>
      <c r="B34" t="s">
        <v>313</v>
      </c>
      <c r="C34" t="s">
        <v>111</v>
      </c>
      <c r="D34">
        <v>1970</v>
      </c>
      <c r="E34" t="s">
        <v>277</v>
      </c>
      <c r="F34" t="s">
        <v>22</v>
      </c>
      <c r="G34">
        <v>2500020</v>
      </c>
      <c r="H34">
        <v>10847</v>
      </c>
      <c r="I34" t="s">
        <v>17</v>
      </c>
      <c r="J34" t="s">
        <v>265</v>
      </c>
      <c r="K34" t="s">
        <v>277</v>
      </c>
      <c r="L34" t="s">
        <v>20</v>
      </c>
      <c r="M34">
        <v>7</v>
      </c>
      <c r="N34">
        <v>301</v>
      </c>
      <c r="O34">
        <v>1875</v>
      </c>
      <c r="P34">
        <v>1581</v>
      </c>
      <c r="Q34">
        <v>9</v>
      </c>
      <c r="R34" s="1">
        <f t="shared" si="3"/>
        <v>0.99519999999999997</v>
      </c>
      <c r="S34" t="s">
        <v>350</v>
      </c>
      <c r="T34" s="5" t="s">
        <v>330</v>
      </c>
      <c r="U34" s="4">
        <f t="shared" ref="U34:U65" si="4">IF(I34="Scanned", R34, "")</f>
        <v>0.99519999999999997</v>
      </c>
      <c r="V34" s="1" t="str">
        <f t="shared" ref="V34:V65" si="5">IF(I34="Born digital", R34, "")</f>
        <v/>
      </c>
      <c r="W34">
        <f t="shared" ref="W34:W52" si="6">IF(D34&lt;1992, R34, "")</f>
        <v>0.99519999999999997</v>
      </c>
    </row>
    <row r="35" spans="1:23">
      <c r="A35" t="s">
        <v>297</v>
      </c>
      <c r="B35" t="s">
        <v>284</v>
      </c>
      <c r="C35" t="s">
        <v>123</v>
      </c>
      <c r="D35">
        <v>1980</v>
      </c>
      <c r="E35" t="s">
        <v>277</v>
      </c>
      <c r="F35" t="s">
        <v>22</v>
      </c>
      <c r="G35">
        <v>2500046</v>
      </c>
      <c r="H35">
        <v>5516</v>
      </c>
      <c r="I35" t="s">
        <v>17</v>
      </c>
      <c r="J35" t="s">
        <v>265</v>
      </c>
      <c r="K35" t="s">
        <v>277</v>
      </c>
      <c r="L35" t="s">
        <v>20</v>
      </c>
      <c r="M35">
        <v>13</v>
      </c>
      <c r="N35">
        <v>255</v>
      </c>
      <c r="O35">
        <v>1446</v>
      </c>
      <c r="P35">
        <v>1201</v>
      </c>
      <c r="Q35">
        <v>14</v>
      </c>
      <c r="R35" s="1">
        <f t="shared" si="3"/>
        <v>0.99031811894882438</v>
      </c>
      <c r="S35" t="s">
        <v>351</v>
      </c>
      <c r="T35" s="5" t="s">
        <v>330</v>
      </c>
      <c r="U35" s="4">
        <f t="shared" si="4"/>
        <v>0.99031811894882438</v>
      </c>
      <c r="V35" s="1" t="str">
        <f t="shared" si="5"/>
        <v/>
      </c>
      <c r="W35">
        <f t="shared" si="6"/>
        <v>0.99031811894882438</v>
      </c>
    </row>
    <row r="36" spans="1:23">
      <c r="A36" t="s">
        <v>290</v>
      </c>
      <c r="B36" t="s">
        <v>275</v>
      </c>
      <c r="C36" t="s">
        <v>276</v>
      </c>
      <c r="D36">
        <v>1988</v>
      </c>
      <c r="E36" t="s">
        <v>277</v>
      </c>
      <c r="F36" t="s">
        <v>22</v>
      </c>
      <c r="G36">
        <v>2500069</v>
      </c>
      <c r="H36">
        <v>12885</v>
      </c>
      <c r="I36" t="s">
        <v>17</v>
      </c>
      <c r="J36" t="s">
        <v>265</v>
      </c>
      <c r="K36" t="s">
        <v>277</v>
      </c>
      <c r="L36" t="s">
        <v>20</v>
      </c>
      <c r="M36">
        <v>41</v>
      </c>
      <c r="N36">
        <v>160</v>
      </c>
      <c r="O36">
        <v>894</v>
      </c>
      <c r="P36">
        <v>746</v>
      </c>
      <c r="Q36">
        <v>5</v>
      </c>
      <c r="R36" s="1">
        <f t="shared" si="3"/>
        <v>0.99440715883668906</v>
      </c>
      <c r="S36" t="s">
        <v>352</v>
      </c>
      <c r="T36" s="5" t="s">
        <v>330</v>
      </c>
      <c r="U36" s="4">
        <f t="shared" si="4"/>
        <v>0.99440715883668906</v>
      </c>
      <c r="V36" s="1" t="str">
        <f t="shared" si="5"/>
        <v/>
      </c>
      <c r="W36">
        <f t="shared" si="6"/>
        <v>0.99440715883668906</v>
      </c>
    </row>
    <row r="37" spans="1:23">
      <c r="A37" t="s">
        <v>306</v>
      </c>
      <c r="B37" t="s">
        <v>299</v>
      </c>
      <c r="C37" t="s">
        <v>300</v>
      </c>
      <c r="D37">
        <v>1973</v>
      </c>
      <c r="E37" t="s">
        <v>307</v>
      </c>
      <c r="F37" t="s">
        <v>22</v>
      </c>
      <c r="G37">
        <v>2700010</v>
      </c>
      <c r="H37">
        <v>4094</v>
      </c>
      <c r="I37" t="s">
        <v>17</v>
      </c>
      <c r="J37" t="s">
        <v>115</v>
      </c>
      <c r="K37" t="s">
        <v>258</v>
      </c>
      <c r="L37" t="s">
        <v>20</v>
      </c>
      <c r="M37">
        <v>3</v>
      </c>
      <c r="N37">
        <v>305</v>
      </c>
      <c r="O37">
        <v>1735</v>
      </c>
      <c r="P37">
        <v>1438</v>
      </c>
      <c r="Q37">
        <v>63</v>
      </c>
      <c r="R37" s="1">
        <f t="shared" si="3"/>
        <v>0.96368876080691646</v>
      </c>
      <c r="S37" t="s">
        <v>353</v>
      </c>
      <c r="T37" s="5" t="s">
        <v>354</v>
      </c>
      <c r="U37" s="4">
        <f t="shared" si="4"/>
        <v>0.96368876080691646</v>
      </c>
      <c r="V37" s="1" t="str">
        <f t="shared" si="5"/>
        <v/>
      </c>
      <c r="W37">
        <f t="shared" si="6"/>
        <v>0.96368876080691646</v>
      </c>
    </row>
    <row r="38" spans="1:23">
      <c r="A38" t="s">
        <v>266</v>
      </c>
      <c r="B38" t="s">
        <v>267</v>
      </c>
      <c r="C38" t="s">
        <v>261</v>
      </c>
      <c r="D38">
        <v>1996</v>
      </c>
      <c r="E38" t="s">
        <v>257</v>
      </c>
      <c r="F38" t="s">
        <v>22</v>
      </c>
      <c r="G38">
        <v>2700001</v>
      </c>
      <c r="H38">
        <v>23035</v>
      </c>
      <c r="I38" t="s">
        <v>17</v>
      </c>
      <c r="J38" t="s">
        <v>115</v>
      </c>
      <c r="K38" t="s">
        <v>258</v>
      </c>
      <c r="L38" t="s">
        <v>20</v>
      </c>
      <c r="M38">
        <v>72</v>
      </c>
      <c r="N38">
        <v>281</v>
      </c>
      <c r="O38">
        <v>1662</v>
      </c>
      <c r="P38">
        <v>1384</v>
      </c>
      <c r="Q38">
        <v>1</v>
      </c>
      <c r="R38" s="1">
        <f t="shared" si="3"/>
        <v>0.99939831528279177</v>
      </c>
      <c r="S38" t="s">
        <v>356</v>
      </c>
      <c r="T38" s="5" t="s">
        <v>355</v>
      </c>
      <c r="U38" s="4">
        <f t="shared" si="4"/>
        <v>0.99939831528279177</v>
      </c>
      <c r="V38" s="1" t="str">
        <f t="shared" si="5"/>
        <v/>
      </c>
      <c r="W38" t="str">
        <f t="shared" si="6"/>
        <v/>
      </c>
    </row>
    <row r="39" spans="1:23">
      <c r="A39" t="s">
        <v>268</v>
      </c>
      <c r="B39" t="s">
        <v>269</v>
      </c>
      <c r="C39" t="s">
        <v>270</v>
      </c>
      <c r="D39">
        <v>1996</v>
      </c>
      <c r="E39" t="s">
        <v>257</v>
      </c>
      <c r="F39" t="s">
        <v>22</v>
      </c>
      <c r="G39">
        <v>2700007</v>
      </c>
      <c r="H39">
        <v>34477</v>
      </c>
      <c r="I39" t="s">
        <v>17</v>
      </c>
      <c r="J39" t="s">
        <v>115</v>
      </c>
      <c r="K39" t="s">
        <v>258</v>
      </c>
      <c r="L39" t="s">
        <v>20</v>
      </c>
      <c r="M39">
        <v>24</v>
      </c>
      <c r="N39">
        <v>427</v>
      </c>
      <c r="O39">
        <v>2476</v>
      </c>
      <c r="P39">
        <v>2057</v>
      </c>
      <c r="Q39">
        <v>2</v>
      </c>
      <c r="R39" s="1">
        <f t="shared" si="3"/>
        <v>0.99919224555735053</v>
      </c>
      <c r="S39" t="s">
        <v>375</v>
      </c>
      <c r="T39" s="5">
        <v>1</v>
      </c>
      <c r="U39" s="4">
        <f t="shared" si="4"/>
        <v>0.99919224555735053</v>
      </c>
      <c r="V39" s="1" t="str">
        <f t="shared" si="5"/>
        <v/>
      </c>
      <c r="W39" t="str">
        <f t="shared" si="6"/>
        <v/>
      </c>
    </row>
    <row r="40" spans="1:23">
      <c r="A40" t="s">
        <v>255</v>
      </c>
      <c r="B40" t="s">
        <v>256</v>
      </c>
      <c r="C40" t="s">
        <v>33</v>
      </c>
      <c r="D40">
        <v>1997</v>
      </c>
      <c r="E40" t="s">
        <v>257</v>
      </c>
      <c r="F40" t="s">
        <v>22</v>
      </c>
      <c r="G40">
        <v>2700000</v>
      </c>
      <c r="H40">
        <v>44933</v>
      </c>
      <c r="I40" t="s">
        <v>17</v>
      </c>
      <c r="J40" t="s">
        <v>115</v>
      </c>
      <c r="K40" t="s">
        <v>258</v>
      </c>
      <c r="L40" t="s">
        <v>20</v>
      </c>
      <c r="M40">
        <v>117</v>
      </c>
      <c r="N40">
        <v>514</v>
      </c>
      <c r="O40">
        <v>3159</v>
      </c>
      <c r="P40">
        <v>2655</v>
      </c>
      <c r="Q40">
        <v>8</v>
      </c>
      <c r="R40" s="1">
        <f t="shared" si="3"/>
        <v>0.99746755302310863</v>
      </c>
      <c r="S40" t="s">
        <v>376</v>
      </c>
      <c r="T40" s="5">
        <v>1</v>
      </c>
      <c r="U40" s="4">
        <f t="shared" si="4"/>
        <v>0.99746755302310863</v>
      </c>
      <c r="V40" s="1" t="str">
        <f t="shared" si="5"/>
        <v/>
      </c>
      <c r="W40" t="str">
        <f t="shared" si="6"/>
        <v/>
      </c>
    </row>
    <row r="41" spans="1:23">
      <c r="A41" t="s">
        <v>12</v>
      </c>
      <c r="B41" t="s">
        <v>13</v>
      </c>
      <c r="C41" t="s">
        <v>14</v>
      </c>
      <c r="D41">
        <v>1964</v>
      </c>
      <c r="E41" t="s">
        <v>15</v>
      </c>
      <c r="F41" t="s">
        <v>16</v>
      </c>
      <c r="G41">
        <v>2800015</v>
      </c>
      <c r="H41">
        <v>7219</v>
      </c>
      <c r="I41" t="s">
        <v>17</v>
      </c>
      <c r="J41" t="s">
        <v>18</v>
      </c>
      <c r="K41" t="s">
        <v>19</v>
      </c>
      <c r="L41" t="s">
        <v>20</v>
      </c>
      <c r="M41">
        <v>1</v>
      </c>
      <c r="N41">
        <v>307</v>
      </c>
      <c r="O41">
        <v>1915</v>
      </c>
      <c r="P41">
        <v>1615</v>
      </c>
      <c r="Q41">
        <v>2</v>
      </c>
      <c r="R41" s="1">
        <f t="shared" si="3"/>
        <v>0.99895561357702345</v>
      </c>
      <c r="S41" t="s">
        <v>357</v>
      </c>
      <c r="T41" s="5" t="s">
        <v>358</v>
      </c>
      <c r="U41" s="4">
        <f t="shared" si="4"/>
        <v>0.99895561357702345</v>
      </c>
      <c r="V41" s="1" t="str">
        <f t="shared" si="5"/>
        <v/>
      </c>
      <c r="W41">
        <f t="shared" si="6"/>
        <v>0.99895561357702345</v>
      </c>
    </row>
    <row r="42" spans="1:23">
      <c r="A42" t="s">
        <v>305</v>
      </c>
      <c r="B42" t="s">
        <v>303</v>
      </c>
      <c r="C42" t="s">
        <v>44</v>
      </c>
      <c r="D42">
        <v>1974</v>
      </c>
      <c r="E42" t="s">
        <v>304</v>
      </c>
      <c r="F42" t="s">
        <v>41</v>
      </c>
      <c r="G42">
        <v>2800039</v>
      </c>
      <c r="H42">
        <v>3147</v>
      </c>
      <c r="I42" t="s">
        <v>17</v>
      </c>
      <c r="J42" t="s">
        <v>18</v>
      </c>
      <c r="K42" t="s">
        <v>19</v>
      </c>
      <c r="L42" t="s">
        <v>20</v>
      </c>
      <c r="M42">
        <v>3</v>
      </c>
      <c r="N42">
        <v>282</v>
      </c>
      <c r="O42">
        <v>1622</v>
      </c>
      <c r="P42">
        <v>1351</v>
      </c>
      <c r="Q42">
        <v>13</v>
      </c>
      <c r="R42" s="1">
        <f t="shared" si="3"/>
        <v>0.99198520345252772</v>
      </c>
      <c r="S42" t="s">
        <v>360</v>
      </c>
      <c r="T42" s="5" t="s">
        <v>359</v>
      </c>
      <c r="U42" s="4">
        <f t="shared" si="4"/>
        <v>0.99198520345252772</v>
      </c>
      <c r="V42" s="1" t="str">
        <f t="shared" si="5"/>
        <v/>
      </c>
      <c r="W42">
        <f t="shared" si="6"/>
        <v>0.99198520345252772</v>
      </c>
    </row>
    <row r="43" spans="1:23">
      <c r="A43" t="s">
        <v>293</v>
      </c>
      <c r="B43" t="s">
        <v>294</v>
      </c>
      <c r="C43" t="s">
        <v>295</v>
      </c>
      <c r="D43">
        <v>1983</v>
      </c>
      <c r="E43" t="s">
        <v>296</v>
      </c>
      <c r="F43" t="s">
        <v>41</v>
      </c>
      <c r="G43">
        <v>2800094</v>
      </c>
      <c r="H43">
        <v>11612</v>
      </c>
      <c r="I43" t="s">
        <v>17</v>
      </c>
      <c r="J43" t="s">
        <v>37</v>
      </c>
      <c r="K43" t="s">
        <v>19</v>
      </c>
      <c r="L43" t="s">
        <v>20</v>
      </c>
      <c r="M43">
        <v>33</v>
      </c>
      <c r="N43">
        <v>212</v>
      </c>
      <c r="O43">
        <v>1261</v>
      </c>
      <c r="P43">
        <v>1059</v>
      </c>
      <c r="Q43">
        <v>74</v>
      </c>
      <c r="R43" s="1">
        <f>(O43-Q43)/O43</f>
        <v>0.94131641554321965</v>
      </c>
      <c r="S43" t="s">
        <v>361</v>
      </c>
      <c r="T43" s="5" t="s">
        <v>362</v>
      </c>
      <c r="U43" s="4">
        <f t="shared" si="4"/>
        <v>0.94131641554321965</v>
      </c>
      <c r="V43" s="1" t="str">
        <f t="shared" si="5"/>
        <v/>
      </c>
      <c r="W43">
        <f t="shared" si="6"/>
        <v>0.94131641554321965</v>
      </c>
    </row>
    <row r="44" spans="1:23">
      <c r="A44" t="s">
        <v>262</v>
      </c>
      <c r="B44" t="s">
        <v>263</v>
      </c>
      <c r="C44" t="s">
        <v>46</v>
      </c>
      <c r="D44">
        <v>1996</v>
      </c>
      <c r="E44" t="s">
        <v>264</v>
      </c>
      <c r="F44" t="s">
        <v>41</v>
      </c>
      <c r="G44">
        <v>2800114</v>
      </c>
      <c r="H44">
        <v>10218</v>
      </c>
      <c r="I44" t="s">
        <v>17</v>
      </c>
      <c r="J44" t="s">
        <v>37</v>
      </c>
      <c r="K44" t="s">
        <v>19</v>
      </c>
      <c r="L44" t="s">
        <v>20</v>
      </c>
      <c r="M44">
        <v>39</v>
      </c>
      <c r="N44">
        <v>135</v>
      </c>
      <c r="O44">
        <v>840</v>
      </c>
      <c r="P44">
        <v>712</v>
      </c>
      <c r="Q44">
        <v>0</v>
      </c>
      <c r="R44" s="1">
        <f t="shared" si="3"/>
        <v>1</v>
      </c>
      <c r="S44" t="s">
        <v>377</v>
      </c>
      <c r="T44" s="5">
        <v>1</v>
      </c>
      <c r="U44" s="4">
        <f t="shared" si="4"/>
        <v>1</v>
      </c>
      <c r="V44" s="1" t="str">
        <f t="shared" si="5"/>
        <v/>
      </c>
      <c r="W44" t="str">
        <f t="shared" si="6"/>
        <v/>
      </c>
    </row>
    <row r="45" spans="1:23">
      <c r="A45" t="s">
        <v>239</v>
      </c>
      <c r="B45" t="s">
        <v>240</v>
      </c>
      <c r="C45" t="s">
        <v>27</v>
      </c>
      <c r="D45">
        <v>1999</v>
      </c>
      <c r="E45" t="s">
        <v>36</v>
      </c>
      <c r="F45" t="s">
        <v>27</v>
      </c>
      <c r="G45">
        <v>1800043</v>
      </c>
      <c r="H45">
        <v>4762</v>
      </c>
      <c r="I45" t="s">
        <v>23</v>
      </c>
      <c r="J45" t="s">
        <v>115</v>
      </c>
      <c r="K45" t="s">
        <v>19</v>
      </c>
      <c r="L45" t="s">
        <v>20</v>
      </c>
      <c r="M45">
        <v>14</v>
      </c>
      <c r="N45">
        <v>98</v>
      </c>
      <c r="O45">
        <v>583</v>
      </c>
      <c r="P45">
        <v>491</v>
      </c>
      <c r="Q45">
        <v>0</v>
      </c>
      <c r="R45" s="1">
        <f t="shared" si="3"/>
        <v>1</v>
      </c>
      <c r="S45" t="s">
        <v>378</v>
      </c>
      <c r="T45" s="5">
        <v>1</v>
      </c>
      <c r="U45" s="4" t="str">
        <f t="shared" si="4"/>
        <v/>
      </c>
      <c r="V45" s="1">
        <f t="shared" si="5"/>
        <v>1</v>
      </c>
      <c r="W45" t="str">
        <f t="shared" si="6"/>
        <v/>
      </c>
    </row>
    <row r="46" spans="1:23">
      <c r="A46" t="s">
        <v>227</v>
      </c>
      <c r="B46" t="s">
        <v>36</v>
      </c>
      <c r="C46" t="s">
        <v>27</v>
      </c>
      <c r="D46">
        <v>2002</v>
      </c>
      <c r="E46" t="s">
        <v>36</v>
      </c>
      <c r="F46" t="s">
        <v>27</v>
      </c>
      <c r="G46">
        <v>1800055</v>
      </c>
      <c r="H46">
        <v>3715</v>
      </c>
      <c r="I46" t="s">
        <v>23</v>
      </c>
      <c r="J46" t="s">
        <v>18</v>
      </c>
      <c r="K46" t="s">
        <v>19</v>
      </c>
      <c r="L46" t="s">
        <v>20</v>
      </c>
      <c r="M46">
        <v>35</v>
      </c>
      <c r="N46">
        <v>97</v>
      </c>
      <c r="O46">
        <v>583</v>
      </c>
      <c r="P46">
        <v>492</v>
      </c>
      <c r="Q46">
        <v>0</v>
      </c>
      <c r="R46" s="1">
        <f t="shared" si="3"/>
        <v>1</v>
      </c>
      <c r="S46" t="s">
        <v>379</v>
      </c>
      <c r="T46" s="5">
        <v>1</v>
      </c>
      <c r="U46" s="4" t="str">
        <f t="shared" si="4"/>
        <v/>
      </c>
      <c r="V46" s="1">
        <f t="shared" si="5"/>
        <v>1</v>
      </c>
      <c r="W46" t="str">
        <f t="shared" si="6"/>
        <v/>
      </c>
    </row>
    <row r="47" spans="1:23">
      <c r="A47" t="s">
        <v>213</v>
      </c>
      <c r="B47" t="s">
        <v>214</v>
      </c>
      <c r="C47" t="s">
        <v>215</v>
      </c>
      <c r="D47">
        <v>2006</v>
      </c>
      <c r="E47" t="s">
        <v>36</v>
      </c>
      <c r="F47" t="s">
        <v>142</v>
      </c>
      <c r="G47">
        <v>1800073</v>
      </c>
      <c r="H47">
        <v>4390</v>
      </c>
      <c r="I47" t="s">
        <v>23</v>
      </c>
      <c r="J47" t="s">
        <v>101</v>
      </c>
      <c r="K47" t="s">
        <v>19</v>
      </c>
      <c r="L47" t="s">
        <v>20</v>
      </c>
      <c r="M47">
        <v>13</v>
      </c>
      <c r="N47">
        <v>198</v>
      </c>
      <c r="O47">
        <v>1128</v>
      </c>
      <c r="P47">
        <v>953</v>
      </c>
      <c r="Q47">
        <v>1</v>
      </c>
      <c r="R47" s="1">
        <f t="shared" si="3"/>
        <v>0.99911347517730498</v>
      </c>
      <c r="S47" t="s">
        <v>380</v>
      </c>
      <c r="T47" s="5">
        <v>1</v>
      </c>
      <c r="U47" s="4" t="str">
        <f t="shared" si="4"/>
        <v/>
      </c>
      <c r="V47" s="1">
        <f t="shared" si="5"/>
        <v>0.99911347517730498</v>
      </c>
      <c r="W47" t="str">
        <f t="shared" si="6"/>
        <v/>
      </c>
    </row>
    <row r="48" spans="1:23">
      <c r="A48" t="s">
        <v>149</v>
      </c>
      <c r="B48" t="s">
        <v>150</v>
      </c>
      <c r="C48" t="s">
        <v>27</v>
      </c>
      <c r="D48">
        <v>2010</v>
      </c>
      <c r="E48" t="s">
        <v>36</v>
      </c>
      <c r="F48" t="s">
        <v>27</v>
      </c>
      <c r="G48">
        <v>1800044</v>
      </c>
      <c r="H48">
        <v>5263</v>
      </c>
      <c r="I48" t="s">
        <v>23</v>
      </c>
      <c r="J48" t="s">
        <v>101</v>
      </c>
      <c r="K48" t="s">
        <v>19</v>
      </c>
      <c r="L48" t="s">
        <v>20</v>
      </c>
      <c r="M48">
        <v>24</v>
      </c>
      <c r="N48">
        <v>166</v>
      </c>
      <c r="O48">
        <v>950</v>
      </c>
      <c r="P48">
        <v>784</v>
      </c>
      <c r="Q48">
        <v>0</v>
      </c>
      <c r="R48" s="1">
        <f t="shared" si="3"/>
        <v>1</v>
      </c>
      <c r="S48" t="s">
        <v>381</v>
      </c>
      <c r="T48" s="5">
        <v>1</v>
      </c>
      <c r="U48" s="4" t="str">
        <f t="shared" si="4"/>
        <v/>
      </c>
      <c r="V48" s="1">
        <f t="shared" si="5"/>
        <v>1</v>
      </c>
      <c r="W48" t="str">
        <f t="shared" si="6"/>
        <v/>
      </c>
    </row>
    <row r="49" spans="1:23">
      <c r="A49" t="s">
        <v>141</v>
      </c>
      <c r="B49" t="s">
        <v>36</v>
      </c>
      <c r="C49" t="s">
        <v>27</v>
      </c>
      <c r="D49">
        <v>2012</v>
      </c>
      <c r="E49" t="s">
        <v>36</v>
      </c>
      <c r="F49" t="s">
        <v>41</v>
      </c>
      <c r="G49">
        <v>1800004</v>
      </c>
      <c r="H49">
        <v>17076</v>
      </c>
      <c r="I49" t="s">
        <v>23</v>
      </c>
      <c r="J49" t="s">
        <v>115</v>
      </c>
      <c r="K49" t="s">
        <v>19</v>
      </c>
      <c r="L49" t="s">
        <v>20</v>
      </c>
      <c r="M49">
        <v>55</v>
      </c>
      <c r="N49">
        <v>243</v>
      </c>
      <c r="O49">
        <v>1429</v>
      </c>
      <c r="P49">
        <v>1190</v>
      </c>
      <c r="Q49">
        <v>2</v>
      </c>
      <c r="R49" s="1">
        <f t="shared" si="3"/>
        <v>0.9986004198740378</v>
      </c>
      <c r="S49" t="s">
        <v>382</v>
      </c>
      <c r="T49" s="5">
        <v>1</v>
      </c>
      <c r="U49" s="4" t="str">
        <f t="shared" si="4"/>
        <v/>
      </c>
      <c r="V49" s="1">
        <f t="shared" si="5"/>
        <v>0.9986004198740378</v>
      </c>
      <c r="W49" t="str">
        <f t="shared" si="6"/>
        <v/>
      </c>
    </row>
    <row r="50" spans="1:23">
      <c r="A50" t="s">
        <v>112</v>
      </c>
      <c r="B50" t="s">
        <v>113</v>
      </c>
      <c r="C50" t="s">
        <v>114</v>
      </c>
      <c r="D50">
        <v>2015</v>
      </c>
      <c r="E50" t="s">
        <v>36</v>
      </c>
      <c r="F50" t="s">
        <v>22</v>
      </c>
      <c r="G50">
        <v>1800125</v>
      </c>
      <c r="H50">
        <v>13537</v>
      </c>
      <c r="I50" t="s">
        <v>23</v>
      </c>
      <c r="J50" t="s">
        <v>32</v>
      </c>
      <c r="K50" t="s">
        <v>19</v>
      </c>
      <c r="L50" t="s">
        <v>20</v>
      </c>
      <c r="M50">
        <v>45</v>
      </c>
      <c r="N50">
        <v>141</v>
      </c>
      <c r="O50">
        <v>788</v>
      </c>
      <c r="P50">
        <v>661</v>
      </c>
      <c r="Q50">
        <v>0</v>
      </c>
      <c r="R50" s="1">
        <f t="shared" si="3"/>
        <v>1</v>
      </c>
      <c r="S50" t="s">
        <v>383</v>
      </c>
      <c r="T50" s="5">
        <v>1</v>
      </c>
      <c r="U50" s="4" t="str">
        <f t="shared" si="4"/>
        <v/>
      </c>
      <c r="V50" s="1">
        <f t="shared" si="5"/>
        <v>1</v>
      </c>
      <c r="W50" t="str">
        <f t="shared" si="6"/>
        <v/>
      </c>
    </row>
    <row r="51" spans="1:23">
      <c r="A51" t="s">
        <v>77</v>
      </c>
      <c r="B51" t="s">
        <v>27</v>
      </c>
      <c r="C51" t="s">
        <v>27</v>
      </c>
      <c r="D51">
        <v>2019</v>
      </c>
      <c r="E51" t="s">
        <v>36</v>
      </c>
      <c r="F51" t="s">
        <v>27</v>
      </c>
      <c r="G51">
        <v>1800181</v>
      </c>
      <c r="H51">
        <v>9077</v>
      </c>
      <c r="I51" t="s">
        <v>23</v>
      </c>
      <c r="J51" t="s">
        <v>32</v>
      </c>
      <c r="K51" t="s">
        <v>19</v>
      </c>
      <c r="L51" t="s">
        <v>20</v>
      </c>
      <c r="M51">
        <v>36</v>
      </c>
      <c r="N51">
        <v>154</v>
      </c>
      <c r="O51">
        <v>921</v>
      </c>
      <c r="P51">
        <v>773</v>
      </c>
      <c r="Q51">
        <v>0</v>
      </c>
      <c r="R51" s="1">
        <f t="shared" si="3"/>
        <v>1</v>
      </c>
      <c r="S51" t="s">
        <v>384</v>
      </c>
      <c r="T51" s="5">
        <v>1</v>
      </c>
      <c r="U51" s="4" t="str">
        <f t="shared" si="4"/>
        <v/>
      </c>
      <c r="V51" s="1">
        <f t="shared" si="5"/>
        <v>1</v>
      </c>
      <c r="W51" t="str">
        <f t="shared" si="6"/>
        <v/>
      </c>
    </row>
    <row r="52" spans="1:23">
      <c r="A52" t="s">
        <v>47</v>
      </c>
      <c r="B52" t="s">
        <v>36</v>
      </c>
      <c r="C52" t="s">
        <v>27</v>
      </c>
      <c r="D52">
        <v>2021</v>
      </c>
      <c r="E52" t="s">
        <v>36</v>
      </c>
      <c r="F52" t="s">
        <v>22</v>
      </c>
      <c r="G52">
        <v>1800189</v>
      </c>
      <c r="H52">
        <v>5766</v>
      </c>
      <c r="I52" t="s">
        <v>23</v>
      </c>
      <c r="J52" t="s">
        <v>32</v>
      </c>
      <c r="K52" t="s">
        <v>19</v>
      </c>
      <c r="L52" t="s">
        <v>20</v>
      </c>
      <c r="M52">
        <v>23</v>
      </c>
      <c r="N52">
        <v>204</v>
      </c>
      <c r="O52">
        <v>1247</v>
      </c>
      <c r="P52">
        <v>1045</v>
      </c>
      <c r="Q52">
        <v>0</v>
      </c>
      <c r="R52" s="1">
        <f t="shared" si="3"/>
        <v>1</v>
      </c>
      <c r="S52" t="s">
        <v>385</v>
      </c>
      <c r="T52" s="5">
        <v>1</v>
      </c>
      <c r="U52" s="4" t="str">
        <f t="shared" si="4"/>
        <v/>
      </c>
      <c r="V52" s="1">
        <f t="shared" si="5"/>
        <v>1</v>
      </c>
      <c r="W52" t="str">
        <f t="shared" si="6"/>
        <v/>
      </c>
    </row>
    <row r="53" spans="1:23">
      <c r="A53" t="s">
        <v>309</v>
      </c>
      <c r="B53" t="s">
        <v>27</v>
      </c>
      <c r="C53" t="s">
        <v>27</v>
      </c>
      <c r="D53">
        <v>1970</v>
      </c>
      <c r="E53" t="s">
        <v>27</v>
      </c>
      <c r="F53" t="s">
        <v>27</v>
      </c>
      <c r="G53">
        <v>1900006</v>
      </c>
      <c r="H53">
        <v>83940</v>
      </c>
      <c r="I53" t="s">
        <v>23</v>
      </c>
      <c r="J53" t="s">
        <v>70</v>
      </c>
      <c r="K53" t="s">
        <v>71</v>
      </c>
      <c r="L53" t="s">
        <v>20</v>
      </c>
      <c r="M53">
        <v>71</v>
      </c>
      <c r="N53">
        <v>327</v>
      </c>
      <c r="O53">
        <v>1862</v>
      </c>
      <c r="P53">
        <v>1560</v>
      </c>
      <c r="Q53">
        <v>0</v>
      </c>
      <c r="R53" s="1">
        <f t="shared" si="3"/>
        <v>1</v>
      </c>
      <c r="S53" t="s">
        <v>386</v>
      </c>
      <c r="T53" s="5">
        <v>1</v>
      </c>
      <c r="U53" s="4" t="str">
        <f t="shared" si="4"/>
        <v/>
      </c>
      <c r="V53" s="1">
        <f t="shared" si="5"/>
        <v>1</v>
      </c>
    </row>
    <row r="54" spans="1:23">
      <c r="A54" t="s">
        <v>229</v>
      </c>
      <c r="B54" t="s">
        <v>27</v>
      </c>
      <c r="C54" t="s">
        <v>27</v>
      </c>
      <c r="D54">
        <v>2001</v>
      </c>
      <c r="E54" t="s">
        <v>27</v>
      </c>
      <c r="F54" t="s">
        <v>27</v>
      </c>
      <c r="G54">
        <v>1900025</v>
      </c>
      <c r="H54">
        <v>727</v>
      </c>
      <c r="I54" t="s">
        <v>23</v>
      </c>
      <c r="J54" t="s">
        <v>70</v>
      </c>
      <c r="K54" t="s">
        <v>71</v>
      </c>
      <c r="L54" t="s">
        <v>20</v>
      </c>
      <c r="M54">
        <v>1</v>
      </c>
      <c r="N54">
        <v>413</v>
      </c>
      <c r="O54">
        <v>2351</v>
      </c>
      <c r="P54">
        <v>1967</v>
      </c>
      <c r="Q54">
        <v>5</v>
      </c>
      <c r="R54" s="1">
        <f t="shared" si="3"/>
        <v>0.99787324542747768</v>
      </c>
      <c r="S54" t="s">
        <v>387</v>
      </c>
      <c r="T54" s="5" t="s">
        <v>388</v>
      </c>
      <c r="U54" s="4" t="str">
        <f t="shared" si="4"/>
        <v/>
      </c>
      <c r="V54" s="1">
        <f t="shared" si="5"/>
        <v>0.99787324542747768</v>
      </c>
      <c r="W54" t="str">
        <f t="shared" ref="W54:W101" si="7">IF(D54&lt;1992, R54, "")</f>
        <v/>
      </c>
    </row>
    <row r="55" spans="1:23">
      <c r="A55" t="s">
        <v>315</v>
      </c>
      <c r="B55" t="s">
        <v>316</v>
      </c>
      <c r="C55" t="s">
        <v>314</v>
      </c>
      <c r="D55">
        <v>1960</v>
      </c>
      <c r="E55" t="s">
        <v>48</v>
      </c>
      <c r="F55" t="s">
        <v>22</v>
      </c>
      <c r="G55">
        <v>2000160</v>
      </c>
      <c r="H55">
        <v>16077</v>
      </c>
      <c r="I55" t="s">
        <v>17</v>
      </c>
      <c r="J55" t="s">
        <v>49</v>
      </c>
      <c r="K55" t="s">
        <v>50</v>
      </c>
      <c r="L55" t="s">
        <v>20</v>
      </c>
      <c r="M55">
        <v>53</v>
      </c>
      <c r="N55">
        <v>265</v>
      </c>
      <c r="O55">
        <v>1487</v>
      </c>
      <c r="P55">
        <v>1223</v>
      </c>
      <c r="Q55">
        <v>54</v>
      </c>
      <c r="R55" s="1">
        <f t="shared" si="3"/>
        <v>0.96368527236045731</v>
      </c>
      <c r="S55" t="s">
        <v>389</v>
      </c>
      <c r="T55" s="5" t="s">
        <v>390</v>
      </c>
      <c r="U55" s="4">
        <f t="shared" si="4"/>
        <v>0.96368527236045731</v>
      </c>
      <c r="V55" s="1" t="str">
        <f t="shared" si="5"/>
        <v/>
      </c>
      <c r="W55">
        <f t="shared" si="7"/>
        <v>0.96368527236045731</v>
      </c>
    </row>
    <row r="56" spans="1:23">
      <c r="A56" t="s">
        <v>272</v>
      </c>
      <c r="B56" t="s">
        <v>273</v>
      </c>
      <c r="C56" t="s">
        <v>274</v>
      </c>
      <c r="D56">
        <v>1993</v>
      </c>
      <c r="E56" t="s">
        <v>48</v>
      </c>
      <c r="F56" t="s">
        <v>22</v>
      </c>
      <c r="G56">
        <v>2000030</v>
      </c>
      <c r="H56">
        <v>82898</v>
      </c>
      <c r="I56" t="s">
        <v>17</v>
      </c>
      <c r="J56" t="s">
        <v>49</v>
      </c>
      <c r="K56" t="s">
        <v>50</v>
      </c>
      <c r="L56" t="s">
        <v>20</v>
      </c>
      <c r="M56">
        <v>155</v>
      </c>
      <c r="N56">
        <v>232</v>
      </c>
      <c r="O56">
        <v>1431</v>
      </c>
      <c r="P56">
        <v>1212</v>
      </c>
      <c r="Q56">
        <v>4</v>
      </c>
      <c r="R56" s="1">
        <f t="shared" si="3"/>
        <v>0.99720475192173308</v>
      </c>
      <c r="S56" t="s">
        <v>391</v>
      </c>
      <c r="T56" s="5">
        <v>1</v>
      </c>
      <c r="U56" s="4">
        <f t="shared" si="4"/>
        <v>0.99720475192173308</v>
      </c>
      <c r="V56" s="1" t="str">
        <f t="shared" si="5"/>
        <v/>
      </c>
      <c r="W56" t="str">
        <f t="shared" si="7"/>
        <v/>
      </c>
    </row>
    <row r="57" spans="1:23">
      <c r="A57" t="s">
        <v>250</v>
      </c>
      <c r="B57" t="s">
        <v>251</v>
      </c>
      <c r="C57" t="s">
        <v>252</v>
      </c>
      <c r="D57">
        <v>1998</v>
      </c>
      <c r="E57" t="s">
        <v>48</v>
      </c>
      <c r="F57" t="s">
        <v>22</v>
      </c>
      <c r="G57">
        <v>2000172</v>
      </c>
      <c r="H57">
        <v>25662</v>
      </c>
      <c r="I57" t="s">
        <v>17</v>
      </c>
      <c r="J57" t="s">
        <v>49</v>
      </c>
      <c r="K57" t="s">
        <v>50</v>
      </c>
      <c r="L57" t="s">
        <v>20</v>
      </c>
      <c r="M57">
        <v>63</v>
      </c>
      <c r="N57">
        <v>266</v>
      </c>
      <c r="O57">
        <v>1523</v>
      </c>
      <c r="P57">
        <v>1267</v>
      </c>
      <c r="Q57">
        <v>2</v>
      </c>
      <c r="R57" s="1">
        <f t="shared" si="3"/>
        <v>0.99868680236375573</v>
      </c>
      <c r="S57" t="s">
        <v>392</v>
      </c>
      <c r="T57" s="5">
        <v>1</v>
      </c>
      <c r="U57" s="4">
        <f t="shared" si="4"/>
        <v>0.99868680236375573</v>
      </c>
      <c r="V57" s="1" t="str">
        <f t="shared" si="5"/>
        <v/>
      </c>
      <c r="W57" t="str">
        <f t="shared" si="7"/>
        <v/>
      </c>
    </row>
    <row r="58" spans="1:23">
      <c r="A58" t="s">
        <v>236</v>
      </c>
      <c r="B58" t="s">
        <v>237</v>
      </c>
      <c r="C58" t="s">
        <v>238</v>
      </c>
      <c r="D58">
        <v>2000</v>
      </c>
      <c r="E58" t="s">
        <v>48</v>
      </c>
      <c r="F58" t="s">
        <v>22</v>
      </c>
      <c r="G58">
        <v>2000054</v>
      </c>
      <c r="H58">
        <v>71306</v>
      </c>
      <c r="I58" t="s">
        <v>17</v>
      </c>
      <c r="J58" t="s">
        <v>49</v>
      </c>
      <c r="K58" t="s">
        <v>50</v>
      </c>
      <c r="L58" t="s">
        <v>20</v>
      </c>
      <c r="M58">
        <v>60</v>
      </c>
      <c r="N58">
        <v>342</v>
      </c>
      <c r="O58">
        <v>2115</v>
      </c>
      <c r="P58">
        <v>1781</v>
      </c>
      <c r="Q58">
        <v>2</v>
      </c>
      <c r="R58" s="1">
        <f t="shared" si="3"/>
        <v>0.99905437352245863</v>
      </c>
      <c r="S58" t="s">
        <v>393</v>
      </c>
      <c r="T58" s="5">
        <v>1</v>
      </c>
      <c r="U58" s="4">
        <f t="shared" si="4"/>
        <v>0.99905437352245863</v>
      </c>
      <c r="V58" s="1" t="str">
        <f t="shared" si="5"/>
        <v/>
      </c>
      <c r="W58" t="str">
        <f t="shared" si="7"/>
        <v/>
      </c>
    </row>
    <row r="59" spans="1:23">
      <c r="A59" t="s">
        <v>234</v>
      </c>
      <c r="B59" t="s">
        <v>235</v>
      </c>
      <c r="C59" t="s">
        <v>205</v>
      </c>
      <c r="D59">
        <v>2001</v>
      </c>
      <c r="E59" t="s">
        <v>48</v>
      </c>
      <c r="F59" t="s">
        <v>22</v>
      </c>
      <c r="G59">
        <v>2000134</v>
      </c>
      <c r="H59">
        <v>41239</v>
      </c>
      <c r="I59" t="s">
        <v>17</v>
      </c>
      <c r="J59" t="s">
        <v>49</v>
      </c>
      <c r="K59" t="s">
        <v>50</v>
      </c>
      <c r="L59" t="s">
        <v>20</v>
      </c>
      <c r="M59">
        <v>110</v>
      </c>
      <c r="N59">
        <v>340</v>
      </c>
      <c r="O59">
        <v>2004</v>
      </c>
      <c r="P59">
        <v>1669</v>
      </c>
      <c r="Q59">
        <v>6</v>
      </c>
      <c r="R59" s="1">
        <f t="shared" si="3"/>
        <v>0.99700598802395213</v>
      </c>
      <c r="S59" t="s">
        <v>394</v>
      </c>
      <c r="T59" s="5">
        <v>1</v>
      </c>
      <c r="U59" s="4">
        <f t="shared" si="4"/>
        <v>0.99700598802395213</v>
      </c>
      <c r="V59" s="1" t="str">
        <f t="shared" si="5"/>
        <v/>
      </c>
      <c r="W59" t="str">
        <f t="shared" si="7"/>
        <v/>
      </c>
    </row>
    <row r="60" spans="1:23">
      <c r="A60" t="s">
        <v>225</v>
      </c>
      <c r="B60" t="s">
        <v>226</v>
      </c>
      <c r="C60" t="s">
        <v>198</v>
      </c>
      <c r="D60">
        <v>2003</v>
      </c>
      <c r="E60" t="s">
        <v>48</v>
      </c>
      <c r="F60" t="s">
        <v>22</v>
      </c>
      <c r="G60">
        <v>2000166</v>
      </c>
      <c r="H60">
        <v>14956</v>
      </c>
      <c r="I60" t="s">
        <v>17</v>
      </c>
      <c r="J60" t="s">
        <v>49</v>
      </c>
      <c r="K60" t="s">
        <v>50</v>
      </c>
      <c r="L60" t="s">
        <v>20</v>
      </c>
      <c r="M60">
        <v>3</v>
      </c>
      <c r="N60">
        <v>383</v>
      </c>
      <c r="O60">
        <v>2271</v>
      </c>
      <c r="P60">
        <v>1894</v>
      </c>
      <c r="Q60">
        <v>26</v>
      </c>
      <c r="R60" s="1">
        <f t="shared" si="3"/>
        <v>0.98855129898723026</v>
      </c>
      <c r="S60" t="s">
        <v>395</v>
      </c>
      <c r="T60" s="5" t="s">
        <v>396</v>
      </c>
      <c r="U60" s="4">
        <f t="shared" si="4"/>
        <v>0.98855129898723026</v>
      </c>
      <c r="V60" s="1" t="str">
        <f t="shared" si="5"/>
        <v/>
      </c>
      <c r="W60" t="str">
        <f t="shared" si="7"/>
        <v/>
      </c>
    </row>
    <row r="61" spans="1:23">
      <c r="A61" t="s">
        <v>222</v>
      </c>
      <c r="B61" t="s">
        <v>223</v>
      </c>
      <c r="C61" t="s">
        <v>60</v>
      </c>
      <c r="D61">
        <v>2005</v>
      </c>
      <c r="E61" t="s">
        <v>48</v>
      </c>
      <c r="F61" t="s">
        <v>22</v>
      </c>
      <c r="G61">
        <v>2000141</v>
      </c>
      <c r="H61">
        <v>50387</v>
      </c>
      <c r="I61" t="s">
        <v>17</v>
      </c>
      <c r="J61" t="s">
        <v>49</v>
      </c>
      <c r="K61" t="s">
        <v>50</v>
      </c>
      <c r="L61" t="s">
        <v>20</v>
      </c>
      <c r="M61">
        <v>97</v>
      </c>
      <c r="N61">
        <v>354</v>
      </c>
      <c r="O61">
        <v>2221</v>
      </c>
      <c r="P61">
        <v>1876</v>
      </c>
      <c r="Q61">
        <v>0</v>
      </c>
      <c r="R61" s="1">
        <f t="shared" si="3"/>
        <v>1</v>
      </c>
      <c r="S61" t="s">
        <v>397</v>
      </c>
      <c r="T61" s="5">
        <v>1</v>
      </c>
      <c r="U61" s="4">
        <f t="shared" si="4"/>
        <v>1</v>
      </c>
      <c r="V61" s="1" t="str">
        <f t="shared" si="5"/>
        <v/>
      </c>
      <c r="W61" t="str">
        <f t="shared" si="7"/>
        <v/>
      </c>
    </row>
    <row r="62" spans="1:23">
      <c r="A62" t="s">
        <v>219</v>
      </c>
      <c r="B62" t="s">
        <v>89</v>
      </c>
      <c r="C62" t="s">
        <v>220</v>
      </c>
      <c r="D62">
        <v>2006</v>
      </c>
      <c r="E62" t="s">
        <v>48</v>
      </c>
      <c r="F62" t="s">
        <v>22</v>
      </c>
      <c r="G62">
        <v>1500008</v>
      </c>
      <c r="H62">
        <v>18547</v>
      </c>
      <c r="I62" t="s">
        <v>23</v>
      </c>
      <c r="J62" t="s">
        <v>49</v>
      </c>
      <c r="K62" t="s">
        <v>50</v>
      </c>
      <c r="L62" t="s">
        <v>20</v>
      </c>
      <c r="M62">
        <v>33</v>
      </c>
      <c r="N62">
        <v>127</v>
      </c>
      <c r="O62">
        <v>780</v>
      </c>
      <c r="P62">
        <v>654</v>
      </c>
      <c r="Q62">
        <v>0</v>
      </c>
      <c r="R62" s="1">
        <f t="shared" si="3"/>
        <v>1</v>
      </c>
      <c r="S62" t="s">
        <v>398</v>
      </c>
      <c r="T62" s="5">
        <v>1</v>
      </c>
      <c r="U62" s="4" t="str">
        <f t="shared" si="4"/>
        <v/>
      </c>
      <c r="V62" s="1">
        <f t="shared" si="5"/>
        <v>1</v>
      </c>
      <c r="W62" t="str">
        <f t="shared" si="7"/>
        <v/>
      </c>
    </row>
    <row r="63" spans="1:23">
      <c r="A63" t="s">
        <v>195</v>
      </c>
      <c r="B63" t="s">
        <v>196</v>
      </c>
      <c r="C63" t="s">
        <v>197</v>
      </c>
      <c r="D63">
        <v>2007</v>
      </c>
      <c r="E63" t="s">
        <v>48</v>
      </c>
      <c r="F63" t="s">
        <v>22</v>
      </c>
      <c r="G63">
        <v>1500003</v>
      </c>
      <c r="H63">
        <v>10400</v>
      </c>
      <c r="I63" t="s">
        <v>23</v>
      </c>
      <c r="J63" t="s">
        <v>49</v>
      </c>
      <c r="K63" t="s">
        <v>50</v>
      </c>
      <c r="L63" t="s">
        <v>20</v>
      </c>
      <c r="M63">
        <v>14</v>
      </c>
      <c r="N63">
        <v>389</v>
      </c>
      <c r="O63">
        <v>2329</v>
      </c>
      <c r="P63">
        <v>1946</v>
      </c>
      <c r="Q63">
        <v>6</v>
      </c>
      <c r="R63" s="1">
        <f t="shared" si="3"/>
        <v>0.99742378703306145</v>
      </c>
      <c r="S63" t="s">
        <v>399</v>
      </c>
      <c r="T63" s="5" t="s">
        <v>400</v>
      </c>
      <c r="U63" s="4" t="str">
        <f t="shared" si="4"/>
        <v/>
      </c>
      <c r="V63" s="1">
        <f t="shared" si="5"/>
        <v>0.99742378703306145</v>
      </c>
      <c r="W63" t="str">
        <f t="shared" si="7"/>
        <v/>
      </c>
    </row>
    <row r="64" spans="1:23">
      <c r="A64" t="s">
        <v>200</v>
      </c>
      <c r="B64" t="s">
        <v>163</v>
      </c>
      <c r="C64" t="s">
        <v>201</v>
      </c>
      <c r="D64">
        <v>2007</v>
      </c>
      <c r="E64" t="s">
        <v>48</v>
      </c>
      <c r="F64" t="s">
        <v>22</v>
      </c>
      <c r="G64">
        <v>1500016</v>
      </c>
      <c r="H64">
        <v>8114</v>
      </c>
      <c r="I64" t="s">
        <v>23</v>
      </c>
      <c r="J64" t="s">
        <v>49</v>
      </c>
      <c r="K64" t="s">
        <v>50</v>
      </c>
      <c r="L64" t="s">
        <v>20</v>
      </c>
      <c r="M64">
        <v>36</v>
      </c>
      <c r="N64">
        <v>297</v>
      </c>
      <c r="O64">
        <v>1776</v>
      </c>
      <c r="P64">
        <v>1489</v>
      </c>
      <c r="Q64">
        <v>0</v>
      </c>
      <c r="R64" s="1">
        <f t="shared" si="3"/>
        <v>1</v>
      </c>
      <c r="S64" t="s">
        <v>401</v>
      </c>
      <c r="T64" s="5">
        <v>1</v>
      </c>
      <c r="U64" s="4" t="str">
        <f t="shared" si="4"/>
        <v/>
      </c>
      <c r="V64" s="1">
        <f t="shared" si="5"/>
        <v>1</v>
      </c>
      <c r="W64" t="str">
        <f t="shared" si="7"/>
        <v/>
      </c>
    </row>
    <row r="65" spans="1:23">
      <c r="A65" t="s">
        <v>202</v>
      </c>
      <c r="B65" t="s">
        <v>203</v>
      </c>
      <c r="C65" t="s">
        <v>204</v>
      </c>
      <c r="D65">
        <v>2007</v>
      </c>
      <c r="E65" t="s">
        <v>48</v>
      </c>
      <c r="F65" t="s">
        <v>22</v>
      </c>
      <c r="G65">
        <v>1500019</v>
      </c>
      <c r="H65">
        <v>55118</v>
      </c>
      <c r="I65" t="s">
        <v>23</v>
      </c>
      <c r="J65" t="s">
        <v>49</v>
      </c>
      <c r="K65" t="s">
        <v>50</v>
      </c>
      <c r="L65" t="s">
        <v>20</v>
      </c>
      <c r="M65">
        <v>92</v>
      </c>
      <c r="N65">
        <v>468</v>
      </c>
      <c r="O65">
        <v>2987</v>
      </c>
      <c r="P65">
        <v>2527</v>
      </c>
      <c r="Q65">
        <v>0</v>
      </c>
      <c r="R65" s="1">
        <f t="shared" si="3"/>
        <v>1</v>
      </c>
      <c r="S65" t="s">
        <v>402</v>
      </c>
      <c r="T65" s="5">
        <v>1</v>
      </c>
      <c r="U65" s="4" t="str">
        <f t="shared" si="4"/>
        <v/>
      </c>
      <c r="V65" s="1">
        <f t="shared" si="5"/>
        <v>1</v>
      </c>
      <c r="W65" t="str">
        <f t="shared" si="7"/>
        <v/>
      </c>
    </row>
    <row r="66" spans="1:23">
      <c r="A66" t="s">
        <v>207</v>
      </c>
      <c r="B66" t="s">
        <v>208</v>
      </c>
      <c r="C66" t="s">
        <v>206</v>
      </c>
      <c r="D66">
        <v>2007</v>
      </c>
      <c r="E66" t="s">
        <v>48</v>
      </c>
      <c r="F66" t="s">
        <v>22</v>
      </c>
      <c r="G66">
        <v>1500032</v>
      </c>
      <c r="H66">
        <v>23165</v>
      </c>
      <c r="I66" t="s">
        <v>23</v>
      </c>
      <c r="J66" t="s">
        <v>49</v>
      </c>
      <c r="K66" t="s">
        <v>50</v>
      </c>
      <c r="L66" t="s">
        <v>20</v>
      </c>
      <c r="M66">
        <v>71</v>
      </c>
      <c r="N66">
        <v>480</v>
      </c>
      <c r="O66">
        <v>2911</v>
      </c>
      <c r="P66">
        <v>2439</v>
      </c>
      <c r="Q66">
        <v>0</v>
      </c>
      <c r="R66" s="1">
        <f t="shared" si="3"/>
        <v>1</v>
      </c>
      <c r="S66" t="s">
        <v>403</v>
      </c>
      <c r="T66" s="5">
        <v>1</v>
      </c>
      <c r="U66" s="4" t="str">
        <f t="shared" ref="U66:U101" si="8">IF(I66="Scanned", R66, "")</f>
        <v/>
      </c>
      <c r="V66" s="1">
        <f t="shared" ref="V66:V101" si="9">IF(I66="Born digital", R66, "")</f>
        <v>1</v>
      </c>
      <c r="W66" t="str">
        <f t="shared" si="7"/>
        <v/>
      </c>
    </row>
    <row r="67" spans="1:23">
      <c r="A67" t="s">
        <v>209</v>
      </c>
      <c r="B67" t="s">
        <v>210</v>
      </c>
      <c r="C67" t="s">
        <v>211</v>
      </c>
      <c r="D67">
        <v>2007</v>
      </c>
      <c r="E67" t="s">
        <v>48</v>
      </c>
      <c r="F67" t="s">
        <v>22</v>
      </c>
      <c r="G67">
        <v>1500038</v>
      </c>
      <c r="H67">
        <v>30516</v>
      </c>
      <c r="I67" t="s">
        <v>23</v>
      </c>
      <c r="J67" t="s">
        <v>49</v>
      </c>
      <c r="K67" t="s">
        <v>50</v>
      </c>
      <c r="L67" t="s">
        <v>20</v>
      </c>
      <c r="M67">
        <v>118</v>
      </c>
      <c r="N67">
        <v>377</v>
      </c>
      <c r="O67">
        <v>2230</v>
      </c>
      <c r="P67">
        <v>1870</v>
      </c>
      <c r="Q67">
        <v>4</v>
      </c>
      <c r="R67" s="1">
        <f t="shared" si="3"/>
        <v>0.99820627802690587</v>
      </c>
      <c r="S67" t="s">
        <v>404</v>
      </c>
      <c r="T67" s="5">
        <v>1</v>
      </c>
      <c r="U67" s="4" t="str">
        <f t="shared" si="8"/>
        <v/>
      </c>
      <c r="V67" s="1">
        <f t="shared" si="9"/>
        <v>0.99820627802690587</v>
      </c>
      <c r="W67" t="str">
        <f t="shared" si="7"/>
        <v/>
      </c>
    </row>
    <row r="68" spans="1:23">
      <c r="A68" t="s">
        <v>177</v>
      </c>
      <c r="B68" t="s">
        <v>178</v>
      </c>
      <c r="C68" t="s">
        <v>179</v>
      </c>
      <c r="D68">
        <v>2008</v>
      </c>
      <c r="E68" t="s">
        <v>48</v>
      </c>
      <c r="F68" t="s">
        <v>22</v>
      </c>
      <c r="G68">
        <v>1500035</v>
      </c>
      <c r="H68">
        <v>61494</v>
      </c>
      <c r="I68" t="s">
        <v>23</v>
      </c>
      <c r="J68" t="s">
        <v>49</v>
      </c>
      <c r="K68" t="s">
        <v>50</v>
      </c>
      <c r="L68" t="s">
        <v>20</v>
      </c>
      <c r="M68">
        <v>59</v>
      </c>
      <c r="N68">
        <v>375</v>
      </c>
      <c r="O68">
        <v>2309</v>
      </c>
      <c r="P68">
        <v>1945</v>
      </c>
      <c r="Q68">
        <v>0</v>
      </c>
      <c r="R68" s="1">
        <f t="shared" ref="R68:R101" si="10">(O68-Q68)/O68</f>
        <v>1</v>
      </c>
      <c r="S68" t="s">
        <v>405</v>
      </c>
      <c r="T68" s="5">
        <v>1</v>
      </c>
      <c r="U68" s="4" t="str">
        <f t="shared" si="8"/>
        <v/>
      </c>
      <c r="V68" s="1">
        <f t="shared" si="9"/>
        <v>1</v>
      </c>
      <c r="W68" t="str">
        <f t="shared" si="7"/>
        <v/>
      </c>
    </row>
    <row r="69" spans="1:23">
      <c r="A69" t="s">
        <v>180</v>
      </c>
      <c r="B69" t="s">
        <v>181</v>
      </c>
      <c r="C69" t="s">
        <v>182</v>
      </c>
      <c r="D69">
        <v>2008</v>
      </c>
      <c r="E69" t="s">
        <v>48</v>
      </c>
      <c r="F69" t="s">
        <v>22</v>
      </c>
      <c r="G69">
        <v>1500042</v>
      </c>
      <c r="H69">
        <v>39667</v>
      </c>
      <c r="I69" t="s">
        <v>23</v>
      </c>
      <c r="J69" t="s">
        <v>49</v>
      </c>
      <c r="K69" t="s">
        <v>50</v>
      </c>
      <c r="L69" t="s">
        <v>20</v>
      </c>
      <c r="M69">
        <v>76</v>
      </c>
      <c r="N69">
        <v>183</v>
      </c>
      <c r="O69">
        <v>1107</v>
      </c>
      <c r="P69">
        <v>933</v>
      </c>
      <c r="Q69">
        <v>0</v>
      </c>
      <c r="R69" s="1">
        <f t="shared" si="10"/>
        <v>1</v>
      </c>
      <c r="S69" t="s">
        <v>406</v>
      </c>
      <c r="T69" s="5">
        <v>1</v>
      </c>
      <c r="U69" s="4" t="str">
        <f t="shared" si="8"/>
        <v/>
      </c>
      <c r="V69" s="1">
        <f t="shared" si="9"/>
        <v>1</v>
      </c>
      <c r="W69" t="str">
        <f t="shared" si="7"/>
        <v/>
      </c>
    </row>
    <row r="70" spans="1:23">
      <c r="A70" t="s">
        <v>183</v>
      </c>
      <c r="B70" t="s">
        <v>184</v>
      </c>
      <c r="C70" t="s">
        <v>171</v>
      </c>
      <c r="D70">
        <v>2008</v>
      </c>
      <c r="E70" t="s">
        <v>48</v>
      </c>
      <c r="F70" t="s">
        <v>22</v>
      </c>
      <c r="G70">
        <v>1500054</v>
      </c>
      <c r="H70">
        <v>20679</v>
      </c>
      <c r="I70" t="s">
        <v>23</v>
      </c>
      <c r="J70" t="s">
        <v>49</v>
      </c>
      <c r="K70" t="s">
        <v>50</v>
      </c>
      <c r="L70" t="s">
        <v>20</v>
      </c>
      <c r="M70">
        <v>40</v>
      </c>
      <c r="N70">
        <v>64</v>
      </c>
      <c r="O70">
        <v>387</v>
      </c>
      <c r="P70">
        <v>326</v>
      </c>
      <c r="Q70">
        <v>1</v>
      </c>
      <c r="R70" s="1">
        <f t="shared" si="10"/>
        <v>0.99741602067183466</v>
      </c>
      <c r="S70" t="s">
        <v>407</v>
      </c>
      <c r="T70" s="5">
        <v>1</v>
      </c>
      <c r="U70" s="4" t="str">
        <f t="shared" si="8"/>
        <v/>
      </c>
      <c r="V70" s="1">
        <f t="shared" si="9"/>
        <v>0.99741602067183466</v>
      </c>
      <c r="W70" t="str">
        <f t="shared" si="7"/>
        <v/>
      </c>
    </row>
    <row r="71" spans="1:23">
      <c r="A71" t="s">
        <v>185</v>
      </c>
      <c r="B71" t="s">
        <v>186</v>
      </c>
      <c r="C71" t="s">
        <v>187</v>
      </c>
      <c r="D71">
        <v>2008</v>
      </c>
      <c r="E71" t="s">
        <v>48</v>
      </c>
      <c r="F71" t="s">
        <v>22</v>
      </c>
      <c r="G71">
        <v>1500060</v>
      </c>
      <c r="H71">
        <v>27023</v>
      </c>
      <c r="I71" t="s">
        <v>23</v>
      </c>
      <c r="J71" t="s">
        <v>49</v>
      </c>
      <c r="K71" t="s">
        <v>50</v>
      </c>
      <c r="L71" t="s">
        <v>20</v>
      </c>
      <c r="M71">
        <v>3</v>
      </c>
      <c r="N71">
        <v>261</v>
      </c>
      <c r="O71">
        <v>1629</v>
      </c>
      <c r="P71">
        <v>1370</v>
      </c>
      <c r="Q71">
        <v>0</v>
      </c>
      <c r="R71" s="1">
        <f t="shared" si="10"/>
        <v>1</v>
      </c>
      <c r="S71" t="s">
        <v>408</v>
      </c>
      <c r="T71" s="5">
        <v>1</v>
      </c>
      <c r="U71" s="4" t="str">
        <f t="shared" si="8"/>
        <v/>
      </c>
      <c r="V71" s="1">
        <f t="shared" si="9"/>
        <v>1</v>
      </c>
      <c r="W71" t="str">
        <f t="shared" si="7"/>
        <v/>
      </c>
    </row>
    <row r="72" spans="1:23">
      <c r="A72" t="s">
        <v>188</v>
      </c>
      <c r="B72" t="s">
        <v>189</v>
      </c>
      <c r="C72" t="s">
        <v>190</v>
      </c>
      <c r="D72">
        <v>2008</v>
      </c>
      <c r="E72" t="s">
        <v>48</v>
      </c>
      <c r="F72" t="s">
        <v>22</v>
      </c>
      <c r="G72">
        <v>1500069</v>
      </c>
      <c r="H72">
        <v>47159</v>
      </c>
      <c r="I72" t="s">
        <v>23</v>
      </c>
      <c r="J72" t="s">
        <v>49</v>
      </c>
      <c r="K72" t="s">
        <v>50</v>
      </c>
      <c r="L72" t="s">
        <v>20</v>
      </c>
      <c r="M72">
        <v>41</v>
      </c>
      <c r="N72">
        <v>345</v>
      </c>
      <c r="O72">
        <v>2119</v>
      </c>
      <c r="P72">
        <v>1784</v>
      </c>
      <c r="Q72">
        <v>0</v>
      </c>
      <c r="R72" s="1">
        <f t="shared" si="10"/>
        <v>1</v>
      </c>
      <c r="S72" t="s">
        <v>409</v>
      </c>
      <c r="T72" s="5">
        <v>1</v>
      </c>
      <c r="U72" s="4" t="str">
        <f t="shared" si="8"/>
        <v/>
      </c>
      <c r="V72" s="1">
        <f t="shared" si="9"/>
        <v>1</v>
      </c>
      <c r="W72" t="str">
        <f t="shared" si="7"/>
        <v/>
      </c>
    </row>
    <row r="73" spans="1:23">
      <c r="A73" t="s">
        <v>165</v>
      </c>
      <c r="B73" t="s">
        <v>166</v>
      </c>
      <c r="C73" t="s">
        <v>167</v>
      </c>
      <c r="D73">
        <v>2009</v>
      </c>
      <c r="E73" t="s">
        <v>48</v>
      </c>
      <c r="F73" t="s">
        <v>22</v>
      </c>
      <c r="G73">
        <v>1500063</v>
      </c>
      <c r="H73">
        <v>11865</v>
      </c>
      <c r="I73" t="s">
        <v>23</v>
      </c>
      <c r="J73" t="s">
        <v>49</v>
      </c>
      <c r="K73" t="s">
        <v>50</v>
      </c>
      <c r="L73" t="s">
        <v>20</v>
      </c>
      <c r="M73">
        <v>49</v>
      </c>
      <c r="N73">
        <v>163</v>
      </c>
      <c r="O73">
        <v>951</v>
      </c>
      <c r="P73">
        <v>798</v>
      </c>
      <c r="Q73">
        <v>1</v>
      </c>
      <c r="R73" s="1">
        <f t="shared" si="10"/>
        <v>0.9989484752891693</v>
      </c>
      <c r="S73" t="s">
        <v>410</v>
      </c>
      <c r="T73" s="5">
        <v>1</v>
      </c>
      <c r="U73" s="4" t="str">
        <f t="shared" si="8"/>
        <v/>
      </c>
      <c r="V73" s="1">
        <f t="shared" si="9"/>
        <v>0.9989484752891693</v>
      </c>
      <c r="W73" t="str">
        <f t="shared" si="7"/>
        <v/>
      </c>
    </row>
    <row r="74" spans="1:23">
      <c r="A74" t="s">
        <v>168</v>
      </c>
      <c r="B74" t="s">
        <v>169</v>
      </c>
      <c r="C74" t="s">
        <v>170</v>
      </c>
      <c r="D74">
        <v>2009</v>
      </c>
      <c r="E74" t="s">
        <v>48</v>
      </c>
      <c r="F74" t="s">
        <v>22</v>
      </c>
      <c r="G74">
        <v>1500075</v>
      </c>
      <c r="H74">
        <v>14997</v>
      </c>
      <c r="I74" t="s">
        <v>23</v>
      </c>
      <c r="J74" t="s">
        <v>49</v>
      </c>
      <c r="K74" t="s">
        <v>50</v>
      </c>
      <c r="L74" t="s">
        <v>20</v>
      </c>
      <c r="M74">
        <v>63</v>
      </c>
      <c r="N74">
        <v>188</v>
      </c>
      <c r="O74">
        <v>1091</v>
      </c>
      <c r="P74">
        <v>910</v>
      </c>
      <c r="Q74">
        <v>0</v>
      </c>
      <c r="R74" s="1">
        <f t="shared" si="10"/>
        <v>1</v>
      </c>
      <c r="S74" t="s">
        <v>411</v>
      </c>
      <c r="T74" s="5">
        <v>1</v>
      </c>
      <c r="U74" s="4" t="str">
        <f t="shared" si="8"/>
        <v/>
      </c>
      <c r="V74" s="1">
        <f t="shared" si="9"/>
        <v>1</v>
      </c>
      <c r="W74" t="str">
        <f t="shared" si="7"/>
        <v/>
      </c>
    </row>
    <row r="75" spans="1:23">
      <c r="A75" t="s">
        <v>172</v>
      </c>
      <c r="B75" t="s">
        <v>173</v>
      </c>
      <c r="C75" t="s">
        <v>174</v>
      </c>
      <c r="D75">
        <v>2009</v>
      </c>
      <c r="E75" t="s">
        <v>48</v>
      </c>
      <c r="F75" t="s">
        <v>22</v>
      </c>
      <c r="G75">
        <v>1500084</v>
      </c>
      <c r="H75">
        <v>18327</v>
      </c>
      <c r="I75" t="s">
        <v>23</v>
      </c>
      <c r="J75" t="s">
        <v>49</v>
      </c>
      <c r="K75" t="s">
        <v>50</v>
      </c>
      <c r="L75" t="s">
        <v>20</v>
      </c>
      <c r="M75">
        <v>65</v>
      </c>
      <c r="N75">
        <v>268</v>
      </c>
      <c r="O75">
        <v>1578</v>
      </c>
      <c r="P75">
        <v>1313</v>
      </c>
      <c r="Q75">
        <v>4</v>
      </c>
      <c r="R75" s="1">
        <f t="shared" si="10"/>
        <v>0.99746514575411915</v>
      </c>
      <c r="S75" t="s">
        <v>412</v>
      </c>
      <c r="T75" s="5">
        <v>1</v>
      </c>
      <c r="U75" s="4" t="str">
        <f t="shared" si="8"/>
        <v/>
      </c>
      <c r="V75" s="1">
        <f t="shared" si="9"/>
        <v>0.99746514575411915</v>
      </c>
      <c r="W75" t="str">
        <f t="shared" si="7"/>
        <v/>
      </c>
    </row>
    <row r="76" spans="1:23">
      <c r="A76" t="s">
        <v>175</v>
      </c>
      <c r="B76" t="s">
        <v>176</v>
      </c>
      <c r="C76" t="s">
        <v>93</v>
      </c>
      <c r="D76">
        <v>2009</v>
      </c>
      <c r="E76" t="s">
        <v>48</v>
      </c>
      <c r="F76" t="s">
        <v>22</v>
      </c>
      <c r="G76">
        <v>1500092</v>
      </c>
      <c r="H76">
        <v>6812</v>
      </c>
      <c r="I76" t="s">
        <v>23</v>
      </c>
      <c r="J76" t="s">
        <v>49</v>
      </c>
      <c r="K76" t="s">
        <v>50</v>
      </c>
      <c r="L76" t="s">
        <v>20</v>
      </c>
      <c r="M76">
        <v>4</v>
      </c>
      <c r="N76">
        <v>435</v>
      </c>
      <c r="O76">
        <v>2630</v>
      </c>
      <c r="P76">
        <v>2204</v>
      </c>
      <c r="Q76">
        <v>0</v>
      </c>
      <c r="R76" s="1">
        <f t="shared" si="10"/>
        <v>1</v>
      </c>
      <c r="S76" t="s">
        <v>413</v>
      </c>
      <c r="T76" s="5">
        <v>1</v>
      </c>
      <c r="U76" s="4" t="str">
        <f t="shared" si="8"/>
        <v/>
      </c>
      <c r="V76" s="1">
        <f t="shared" si="9"/>
        <v>1</v>
      </c>
      <c r="W76" t="str">
        <f t="shared" si="7"/>
        <v/>
      </c>
    </row>
    <row r="77" spans="1:23">
      <c r="A77" t="s">
        <v>151</v>
      </c>
      <c r="B77" t="s">
        <v>152</v>
      </c>
      <c r="C77" t="s">
        <v>153</v>
      </c>
      <c r="D77">
        <v>2010</v>
      </c>
      <c r="E77" t="s">
        <v>48</v>
      </c>
      <c r="F77" t="s">
        <v>22</v>
      </c>
      <c r="G77">
        <v>1500098</v>
      </c>
      <c r="H77">
        <v>14544</v>
      </c>
      <c r="I77" t="s">
        <v>23</v>
      </c>
      <c r="J77" t="s">
        <v>49</v>
      </c>
      <c r="K77" t="s">
        <v>50</v>
      </c>
      <c r="L77" t="s">
        <v>20</v>
      </c>
      <c r="M77">
        <v>34</v>
      </c>
      <c r="N77">
        <v>120</v>
      </c>
      <c r="O77">
        <v>715</v>
      </c>
      <c r="P77">
        <v>599</v>
      </c>
      <c r="Q77">
        <v>0</v>
      </c>
      <c r="R77" s="1">
        <f t="shared" si="10"/>
        <v>1</v>
      </c>
      <c r="S77" t="s">
        <v>414</v>
      </c>
      <c r="T77" s="5">
        <v>1</v>
      </c>
      <c r="U77" s="4" t="str">
        <f t="shared" si="8"/>
        <v/>
      </c>
      <c r="V77" s="1">
        <f t="shared" si="9"/>
        <v>1</v>
      </c>
      <c r="W77" t="str">
        <f t="shared" si="7"/>
        <v/>
      </c>
    </row>
    <row r="78" spans="1:23">
      <c r="A78" t="s">
        <v>154</v>
      </c>
      <c r="B78" t="s">
        <v>155</v>
      </c>
      <c r="C78" t="s">
        <v>156</v>
      </c>
      <c r="D78">
        <v>2010</v>
      </c>
      <c r="E78" t="s">
        <v>48</v>
      </c>
      <c r="F78" t="s">
        <v>22</v>
      </c>
      <c r="G78">
        <v>1500106</v>
      </c>
      <c r="H78">
        <v>44331</v>
      </c>
      <c r="I78" t="s">
        <v>23</v>
      </c>
      <c r="J78" t="s">
        <v>49</v>
      </c>
      <c r="K78" t="s">
        <v>50</v>
      </c>
      <c r="L78" t="s">
        <v>20</v>
      </c>
      <c r="M78">
        <v>42</v>
      </c>
      <c r="N78">
        <v>487</v>
      </c>
      <c r="O78">
        <v>2797</v>
      </c>
      <c r="P78">
        <v>2316</v>
      </c>
      <c r="Q78">
        <v>0</v>
      </c>
      <c r="R78" s="1">
        <f t="shared" si="10"/>
        <v>1</v>
      </c>
      <c r="S78" t="s">
        <v>415</v>
      </c>
      <c r="T78" s="5">
        <v>1</v>
      </c>
      <c r="U78" s="4" t="str">
        <f t="shared" si="8"/>
        <v/>
      </c>
      <c r="V78" s="1">
        <f t="shared" si="9"/>
        <v>1</v>
      </c>
      <c r="W78" t="str">
        <f t="shared" si="7"/>
        <v/>
      </c>
    </row>
    <row r="79" spans="1:23">
      <c r="A79" t="s">
        <v>157</v>
      </c>
      <c r="B79" t="s">
        <v>158</v>
      </c>
      <c r="C79" t="s">
        <v>159</v>
      </c>
      <c r="D79">
        <v>2010</v>
      </c>
      <c r="E79" t="s">
        <v>48</v>
      </c>
      <c r="F79" t="s">
        <v>22</v>
      </c>
      <c r="G79">
        <v>1500112</v>
      </c>
      <c r="H79">
        <v>25290</v>
      </c>
      <c r="I79" t="s">
        <v>23</v>
      </c>
      <c r="J79" t="s">
        <v>49</v>
      </c>
      <c r="K79" t="s">
        <v>50</v>
      </c>
      <c r="L79" t="s">
        <v>20</v>
      </c>
      <c r="M79">
        <v>83</v>
      </c>
      <c r="N79">
        <v>258</v>
      </c>
      <c r="O79">
        <v>1549</v>
      </c>
      <c r="P79">
        <v>1295</v>
      </c>
      <c r="Q79">
        <v>0</v>
      </c>
      <c r="R79" s="1">
        <f t="shared" si="10"/>
        <v>1</v>
      </c>
      <c r="S79" t="s">
        <v>416</v>
      </c>
      <c r="T79" s="5">
        <v>1</v>
      </c>
      <c r="U79" s="4" t="str">
        <f t="shared" si="8"/>
        <v/>
      </c>
      <c r="V79" s="1">
        <f t="shared" si="9"/>
        <v>1</v>
      </c>
      <c r="W79" t="str">
        <f t="shared" si="7"/>
        <v/>
      </c>
    </row>
    <row r="80" spans="1:23">
      <c r="A80" t="s">
        <v>160</v>
      </c>
      <c r="B80" t="s">
        <v>161</v>
      </c>
      <c r="C80" t="s">
        <v>51</v>
      </c>
      <c r="D80">
        <v>2010</v>
      </c>
      <c r="E80" t="s">
        <v>48</v>
      </c>
      <c r="F80" t="s">
        <v>22</v>
      </c>
      <c r="G80">
        <v>1500117</v>
      </c>
      <c r="H80">
        <v>25966</v>
      </c>
      <c r="I80" t="s">
        <v>23</v>
      </c>
      <c r="J80" t="s">
        <v>49</v>
      </c>
      <c r="K80" t="s">
        <v>50</v>
      </c>
      <c r="L80" t="s">
        <v>20</v>
      </c>
      <c r="M80">
        <v>48</v>
      </c>
      <c r="N80">
        <v>258</v>
      </c>
      <c r="O80">
        <v>1570</v>
      </c>
      <c r="P80">
        <v>1317</v>
      </c>
      <c r="Q80">
        <v>1</v>
      </c>
      <c r="R80" s="1">
        <f t="shared" si="10"/>
        <v>0.99936305732484076</v>
      </c>
      <c r="S80" t="s">
        <v>417</v>
      </c>
      <c r="T80" s="5">
        <v>1</v>
      </c>
      <c r="U80" s="4" t="str">
        <f t="shared" si="8"/>
        <v/>
      </c>
      <c r="V80" s="1">
        <f t="shared" si="9"/>
        <v>0.99936305732484076</v>
      </c>
      <c r="W80" t="str">
        <f t="shared" si="7"/>
        <v/>
      </c>
    </row>
    <row r="81" spans="1:23">
      <c r="A81" t="s">
        <v>143</v>
      </c>
      <c r="B81" t="s">
        <v>144</v>
      </c>
      <c r="C81" t="s">
        <v>145</v>
      </c>
      <c r="D81">
        <v>2011</v>
      </c>
      <c r="E81" t="s">
        <v>48</v>
      </c>
      <c r="F81" t="s">
        <v>22</v>
      </c>
      <c r="G81">
        <v>1500119</v>
      </c>
      <c r="H81">
        <v>42664</v>
      </c>
      <c r="I81" t="s">
        <v>23</v>
      </c>
      <c r="J81" t="s">
        <v>49</v>
      </c>
      <c r="K81" t="s">
        <v>50</v>
      </c>
      <c r="L81" t="s">
        <v>20</v>
      </c>
      <c r="M81">
        <v>88</v>
      </c>
      <c r="N81">
        <v>349</v>
      </c>
      <c r="O81">
        <v>1989</v>
      </c>
      <c r="P81">
        <v>1645</v>
      </c>
      <c r="Q81">
        <v>2</v>
      </c>
      <c r="R81" s="1">
        <f t="shared" si="10"/>
        <v>0.99899446958270488</v>
      </c>
      <c r="S81" t="s">
        <v>418</v>
      </c>
      <c r="T81" s="5">
        <v>1</v>
      </c>
      <c r="U81" s="4" t="str">
        <f t="shared" si="8"/>
        <v/>
      </c>
      <c r="V81" s="1">
        <f t="shared" si="9"/>
        <v>0.99899446958270488</v>
      </c>
      <c r="W81" t="str">
        <f t="shared" si="7"/>
        <v/>
      </c>
    </row>
    <row r="82" spans="1:23">
      <c r="A82" t="s">
        <v>146</v>
      </c>
      <c r="B82" t="s">
        <v>147</v>
      </c>
      <c r="C82" t="s">
        <v>148</v>
      </c>
      <c r="D82">
        <v>2011</v>
      </c>
      <c r="E82" t="s">
        <v>48</v>
      </c>
      <c r="F82" t="s">
        <v>22</v>
      </c>
      <c r="G82">
        <v>1500126</v>
      </c>
      <c r="H82">
        <v>55222</v>
      </c>
      <c r="I82" t="s">
        <v>23</v>
      </c>
      <c r="J82" t="s">
        <v>49</v>
      </c>
      <c r="K82" t="s">
        <v>50</v>
      </c>
      <c r="L82" t="s">
        <v>20</v>
      </c>
      <c r="M82">
        <v>74</v>
      </c>
      <c r="N82">
        <v>333</v>
      </c>
      <c r="O82">
        <v>1939</v>
      </c>
      <c r="P82">
        <v>1612</v>
      </c>
      <c r="Q82">
        <v>6</v>
      </c>
      <c r="R82" s="1">
        <f t="shared" si="10"/>
        <v>0.9969056214543579</v>
      </c>
      <c r="S82" t="s">
        <v>420</v>
      </c>
      <c r="T82" s="5" t="s">
        <v>419</v>
      </c>
      <c r="U82" s="4" t="str">
        <f t="shared" si="8"/>
        <v/>
      </c>
      <c r="V82" s="1">
        <f t="shared" si="9"/>
        <v>0.9969056214543579</v>
      </c>
      <c r="W82" t="str">
        <f t="shared" si="7"/>
        <v/>
      </c>
    </row>
    <row r="83" spans="1:23">
      <c r="A83" t="s">
        <v>133</v>
      </c>
      <c r="B83" t="s">
        <v>131</v>
      </c>
      <c r="C83" t="s">
        <v>134</v>
      </c>
      <c r="D83">
        <v>2013</v>
      </c>
      <c r="E83" t="s">
        <v>48</v>
      </c>
      <c r="F83" t="s">
        <v>22</v>
      </c>
      <c r="G83">
        <v>1500134</v>
      </c>
      <c r="H83">
        <v>38557</v>
      </c>
      <c r="I83" t="s">
        <v>23</v>
      </c>
      <c r="J83" t="s">
        <v>49</v>
      </c>
      <c r="K83" t="s">
        <v>50</v>
      </c>
      <c r="L83" t="s">
        <v>20</v>
      </c>
      <c r="M83">
        <v>116</v>
      </c>
      <c r="N83">
        <v>337</v>
      </c>
      <c r="O83">
        <v>2097</v>
      </c>
      <c r="P83">
        <v>1769</v>
      </c>
      <c r="Q83">
        <v>0</v>
      </c>
      <c r="R83" s="1">
        <f t="shared" si="10"/>
        <v>1</v>
      </c>
      <c r="S83" t="s">
        <v>421</v>
      </c>
      <c r="T83" s="5">
        <v>1</v>
      </c>
      <c r="U83" s="4" t="str">
        <f t="shared" si="8"/>
        <v/>
      </c>
      <c r="V83" s="1">
        <f t="shared" si="9"/>
        <v>1</v>
      </c>
      <c r="W83" t="str">
        <f t="shared" si="7"/>
        <v/>
      </c>
    </row>
    <row r="84" spans="1:23">
      <c r="A84" t="s">
        <v>135</v>
      </c>
      <c r="B84" t="s">
        <v>136</v>
      </c>
      <c r="C84" t="s">
        <v>137</v>
      </c>
      <c r="D84">
        <v>2013</v>
      </c>
      <c r="E84" t="s">
        <v>48</v>
      </c>
      <c r="F84" t="s">
        <v>22</v>
      </c>
      <c r="G84">
        <v>1500143</v>
      </c>
      <c r="H84">
        <v>30646</v>
      </c>
      <c r="I84" t="s">
        <v>23</v>
      </c>
      <c r="J84" t="s">
        <v>49</v>
      </c>
      <c r="K84" t="s">
        <v>50</v>
      </c>
      <c r="L84" t="s">
        <v>20</v>
      </c>
      <c r="M84">
        <v>4</v>
      </c>
      <c r="N84">
        <v>344</v>
      </c>
      <c r="O84">
        <v>2169</v>
      </c>
      <c r="P84">
        <v>1833</v>
      </c>
      <c r="Q84">
        <v>0</v>
      </c>
      <c r="R84" s="1">
        <f t="shared" si="10"/>
        <v>1</v>
      </c>
      <c r="S84" t="s">
        <v>422</v>
      </c>
      <c r="T84" s="5">
        <v>1</v>
      </c>
      <c r="U84" s="4" t="str">
        <f t="shared" si="8"/>
        <v/>
      </c>
      <c r="V84" s="1">
        <f t="shared" si="9"/>
        <v>1</v>
      </c>
      <c r="W84" t="str">
        <f t="shared" si="7"/>
        <v/>
      </c>
    </row>
    <row r="85" spans="1:23">
      <c r="A85" t="s">
        <v>138</v>
      </c>
      <c r="B85" t="s">
        <v>139</v>
      </c>
      <c r="C85" t="s">
        <v>140</v>
      </c>
      <c r="D85">
        <v>2013</v>
      </c>
      <c r="E85" t="s">
        <v>48</v>
      </c>
      <c r="F85" t="s">
        <v>22</v>
      </c>
      <c r="G85">
        <v>1500153</v>
      </c>
      <c r="H85">
        <v>6938</v>
      </c>
      <c r="I85" t="s">
        <v>23</v>
      </c>
      <c r="J85" t="s">
        <v>49</v>
      </c>
      <c r="K85" t="s">
        <v>50</v>
      </c>
      <c r="L85" t="s">
        <v>20</v>
      </c>
      <c r="M85">
        <v>42</v>
      </c>
      <c r="N85">
        <v>71</v>
      </c>
      <c r="O85">
        <v>404</v>
      </c>
      <c r="P85">
        <v>335</v>
      </c>
      <c r="Q85">
        <v>0</v>
      </c>
      <c r="R85" s="1">
        <f t="shared" si="10"/>
        <v>1</v>
      </c>
      <c r="S85" t="s">
        <v>423</v>
      </c>
      <c r="T85" s="5">
        <v>1</v>
      </c>
      <c r="U85" s="4" t="str">
        <f t="shared" si="8"/>
        <v/>
      </c>
      <c r="V85" s="1">
        <f t="shared" si="9"/>
        <v>1</v>
      </c>
      <c r="W85" t="str">
        <f t="shared" si="7"/>
        <v/>
      </c>
    </row>
    <row r="86" spans="1:23">
      <c r="A86" t="s">
        <v>124</v>
      </c>
      <c r="B86" t="s">
        <v>125</v>
      </c>
      <c r="C86" t="s">
        <v>110</v>
      </c>
      <c r="D86">
        <v>2014</v>
      </c>
      <c r="E86" t="s">
        <v>48</v>
      </c>
      <c r="F86" t="s">
        <v>22</v>
      </c>
      <c r="G86">
        <v>1500151</v>
      </c>
      <c r="H86">
        <v>33135</v>
      </c>
      <c r="I86" t="s">
        <v>23</v>
      </c>
      <c r="J86" t="s">
        <v>49</v>
      </c>
      <c r="K86" t="s">
        <v>50</v>
      </c>
      <c r="L86" t="s">
        <v>20</v>
      </c>
      <c r="M86">
        <v>77</v>
      </c>
      <c r="N86">
        <v>138</v>
      </c>
      <c r="O86">
        <v>781</v>
      </c>
      <c r="P86">
        <v>648</v>
      </c>
      <c r="Q86">
        <v>0</v>
      </c>
      <c r="R86" s="1">
        <f t="shared" si="10"/>
        <v>1</v>
      </c>
      <c r="S86" t="s">
        <v>424</v>
      </c>
      <c r="T86" s="5">
        <v>1</v>
      </c>
      <c r="U86" s="4" t="str">
        <f t="shared" si="8"/>
        <v/>
      </c>
      <c r="V86" s="1">
        <f t="shared" si="9"/>
        <v>1</v>
      </c>
      <c r="W86" t="str">
        <f t="shared" si="7"/>
        <v/>
      </c>
    </row>
    <row r="87" spans="1:23">
      <c r="A87" t="s">
        <v>126</v>
      </c>
      <c r="B87" t="s">
        <v>127</v>
      </c>
      <c r="C87" t="s">
        <v>128</v>
      </c>
      <c r="D87">
        <v>2014</v>
      </c>
      <c r="E87" t="s">
        <v>48</v>
      </c>
      <c r="F87" t="s">
        <v>22</v>
      </c>
      <c r="G87">
        <v>1500160</v>
      </c>
      <c r="H87">
        <v>15166</v>
      </c>
      <c r="I87" t="s">
        <v>23</v>
      </c>
      <c r="J87" t="s">
        <v>49</v>
      </c>
      <c r="K87" t="s">
        <v>50</v>
      </c>
      <c r="L87" t="s">
        <v>20</v>
      </c>
      <c r="M87">
        <v>6</v>
      </c>
      <c r="N87">
        <v>297</v>
      </c>
      <c r="O87">
        <v>1890</v>
      </c>
      <c r="P87">
        <v>1604</v>
      </c>
      <c r="Q87">
        <v>0</v>
      </c>
      <c r="R87" s="1">
        <f t="shared" si="10"/>
        <v>1</v>
      </c>
      <c r="S87" t="s">
        <v>425</v>
      </c>
      <c r="T87" s="5">
        <v>1</v>
      </c>
      <c r="U87" s="4" t="str">
        <f t="shared" si="8"/>
        <v/>
      </c>
      <c r="V87" s="1">
        <f t="shared" si="9"/>
        <v>1</v>
      </c>
      <c r="W87" t="str">
        <f t="shared" si="7"/>
        <v/>
      </c>
    </row>
    <row r="88" spans="1:23">
      <c r="A88" t="s">
        <v>119</v>
      </c>
      <c r="B88" t="s">
        <v>120</v>
      </c>
      <c r="C88" t="s">
        <v>106</v>
      </c>
      <c r="D88">
        <v>2015</v>
      </c>
      <c r="E88" t="s">
        <v>48</v>
      </c>
      <c r="F88" t="s">
        <v>22</v>
      </c>
      <c r="G88">
        <v>1500172</v>
      </c>
      <c r="H88">
        <v>46400</v>
      </c>
      <c r="I88" t="s">
        <v>23</v>
      </c>
      <c r="J88" t="s">
        <v>49</v>
      </c>
      <c r="K88" t="s">
        <v>50</v>
      </c>
      <c r="L88" t="s">
        <v>20</v>
      </c>
      <c r="M88">
        <v>23</v>
      </c>
      <c r="N88">
        <v>195</v>
      </c>
      <c r="O88">
        <v>1318</v>
      </c>
      <c r="P88">
        <v>1130</v>
      </c>
      <c r="Q88">
        <v>0</v>
      </c>
      <c r="R88" s="1">
        <f t="shared" si="10"/>
        <v>1</v>
      </c>
      <c r="S88" t="s">
        <v>426</v>
      </c>
      <c r="T88" s="5">
        <v>1</v>
      </c>
      <c r="U88" s="4" t="str">
        <f t="shared" si="8"/>
        <v/>
      </c>
      <c r="V88" s="1">
        <f t="shared" si="9"/>
        <v>1</v>
      </c>
      <c r="W88" t="str">
        <f t="shared" si="7"/>
        <v/>
      </c>
    </row>
    <row r="89" spans="1:23">
      <c r="A89" t="s">
        <v>102</v>
      </c>
      <c r="B89" t="s">
        <v>103</v>
      </c>
      <c r="C89" t="s">
        <v>104</v>
      </c>
      <c r="D89">
        <v>2016</v>
      </c>
      <c r="E89" t="s">
        <v>48</v>
      </c>
      <c r="F89" t="s">
        <v>22</v>
      </c>
      <c r="G89">
        <v>1500175</v>
      </c>
      <c r="H89">
        <v>71221</v>
      </c>
      <c r="I89" t="s">
        <v>23</v>
      </c>
      <c r="J89" t="s">
        <v>49</v>
      </c>
      <c r="K89" t="s">
        <v>50</v>
      </c>
      <c r="L89" t="s">
        <v>20</v>
      </c>
      <c r="M89">
        <v>188</v>
      </c>
      <c r="N89">
        <v>439</v>
      </c>
      <c r="O89">
        <v>2479</v>
      </c>
      <c r="P89">
        <v>2043</v>
      </c>
      <c r="Q89">
        <v>0</v>
      </c>
      <c r="R89" s="1">
        <f t="shared" si="10"/>
        <v>1</v>
      </c>
      <c r="S89" t="s">
        <v>427</v>
      </c>
      <c r="T89" s="5">
        <v>1</v>
      </c>
      <c r="U89" s="4" t="str">
        <f t="shared" si="8"/>
        <v/>
      </c>
      <c r="V89" s="1">
        <f t="shared" si="9"/>
        <v>1</v>
      </c>
      <c r="W89" t="str">
        <f t="shared" si="7"/>
        <v/>
      </c>
    </row>
    <row r="90" spans="1:23">
      <c r="A90" t="s">
        <v>105</v>
      </c>
      <c r="B90" t="s">
        <v>58</v>
      </c>
      <c r="C90" t="s">
        <v>106</v>
      </c>
      <c r="D90">
        <v>2016</v>
      </c>
      <c r="E90" t="s">
        <v>48</v>
      </c>
      <c r="F90" t="s">
        <v>22</v>
      </c>
      <c r="G90">
        <v>1500182</v>
      </c>
      <c r="H90">
        <v>38217</v>
      </c>
      <c r="I90" t="s">
        <v>23</v>
      </c>
      <c r="J90" t="s">
        <v>49</v>
      </c>
      <c r="K90" t="s">
        <v>50</v>
      </c>
      <c r="L90" t="s">
        <v>20</v>
      </c>
      <c r="M90">
        <v>39</v>
      </c>
      <c r="N90">
        <v>84</v>
      </c>
      <c r="O90">
        <v>543</v>
      </c>
      <c r="P90">
        <v>461</v>
      </c>
      <c r="Q90">
        <v>0</v>
      </c>
      <c r="R90" s="1">
        <f t="shared" si="10"/>
        <v>1</v>
      </c>
      <c r="S90" t="s">
        <v>428</v>
      </c>
      <c r="T90" s="5">
        <v>1</v>
      </c>
      <c r="U90" s="4" t="str">
        <f t="shared" si="8"/>
        <v/>
      </c>
      <c r="V90" s="1">
        <f t="shared" si="9"/>
        <v>1</v>
      </c>
      <c r="W90" t="str">
        <f t="shared" si="7"/>
        <v/>
      </c>
    </row>
    <row r="91" spans="1:23">
      <c r="A91" t="s">
        <v>107</v>
      </c>
      <c r="B91" t="s">
        <v>108</v>
      </c>
      <c r="C91" t="s">
        <v>109</v>
      </c>
      <c r="D91">
        <v>2016</v>
      </c>
      <c r="E91" t="s">
        <v>48</v>
      </c>
      <c r="F91" t="s">
        <v>22</v>
      </c>
      <c r="G91">
        <v>1500191</v>
      </c>
      <c r="H91">
        <v>15122</v>
      </c>
      <c r="I91" t="s">
        <v>23</v>
      </c>
      <c r="J91" t="s">
        <v>49</v>
      </c>
      <c r="K91" t="s">
        <v>50</v>
      </c>
      <c r="L91" t="s">
        <v>20</v>
      </c>
      <c r="M91">
        <v>13</v>
      </c>
      <c r="N91">
        <v>222</v>
      </c>
      <c r="O91">
        <v>1251</v>
      </c>
      <c r="P91">
        <v>1034</v>
      </c>
      <c r="Q91">
        <v>7</v>
      </c>
      <c r="R91" s="1">
        <f t="shared" si="10"/>
        <v>0.99440447641886487</v>
      </c>
      <c r="S91" t="s">
        <v>430</v>
      </c>
      <c r="T91" s="5" t="s">
        <v>429</v>
      </c>
      <c r="U91" s="4" t="str">
        <f t="shared" si="8"/>
        <v/>
      </c>
      <c r="V91" s="1">
        <f t="shared" si="9"/>
        <v>0.99440447641886487</v>
      </c>
      <c r="W91" t="str">
        <f t="shared" si="7"/>
        <v/>
      </c>
    </row>
    <row r="92" spans="1:23">
      <c r="A92" t="s">
        <v>91</v>
      </c>
      <c r="B92" t="s">
        <v>92</v>
      </c>
      <c r="C92" t="s">
        <v>93</v>
      </c>
      <c r="D92">
        <v>2017</v>
      </c>
      <c r="E92" t="s">
        <v>48</v>
      </c>
      <c r="F92" t="s">
        <v>22</v>
      </c>
      <c r="G92">
        <v>1500195</v>
      </c>
      <c r="H92">
        <v>49358</v>
      </c>
      <c r="I92" t="s">
        <v>23</v>
      </c>
      <c r="J92" t="s">
        <v>49</v>
      </c>
      <c r="K92" t="s">
        <v>50</v>
      </c>
      <c r="L92" t="s">
        <v>20</v>
      </c>
      <c r="M92">
        <v>197</v>
      </c>
      <c r="N92">
        <v>286</v>
      </c>
      <c r="O92">
        <v>1845</v>
      </c>
      <c r="P92">
        <v>1566</v>
      </c>
      <c r="Q92">
        <v>7</v>
      </c>
      <c r="R92" s="1">
        <f t="shared" si="10"/>
        <v>0.99620596205962064</v>
      </c>
      <c r="S92" t="s">
        <v>431</v>
      </c>
      <c r="T92" s="5" t="s">
        <v>432</v>
      </c>
      <c r="U92" s="4" t="str">
        <f t="shared" si="8"/>
        <v/>
      </c>
      <c r="V92" s="1">
        <f t="shared" si="9"/>
        <v>0.99620596205962064</v>
      </c>
      <c r="W92" t="str">
        <f t="shared" si="7"/>
        <v/>
      </c>
    </row>
    <row r="93" spans="1:23">
      <c r="A93" t="s">
        <v>95</v>
      </c>
      <c r="B93" t="s">
        <v>96</v>
      </c>
      <c r="C93" t="s">
        <v>97</v>
      </c>
      <c r="D93">
        <v>2017</v>
      </c>
      <c r="E93" t="s">
        <v>48</v>
      </c>
      <c r="F93" t="s">
        <v>22</v>
      </c>
      <c r="G93">
        <v>1500208</v>
      </c>
      <c r="H93">
        <v>11807</v>
      </c>
      <c r="I93" t="s">
        <v>23</v>
      </c>
      <c r="J93" t="s">
        <v>49</v>
      </c>
      <c r="K93" t="s">
        <v>50</v>
      </c>
      <c r="L93" t="s">
        <v>20</v>
      </c>
      <c r="M93">
        <v>21</v>
      </c>
      <c r="N93">
        <v>256</v>
      </c>
      <c r="O93">
        <v>1559</v>
      </c>
      <c r="P93">
        <v>1313</v>
      </c>
      <c r="Q93">
        <v>0</v>
      </c>
      <c r="R93" s="1">
        <f t="shared" si="10"/>
        <v>1</v>
      </c>
      <c r="S93" t="s">
        <v>433</v>
      </c>
      <c r="T93" s="5">
        <v>1</v>
      </c>
      <c r="U93" s="4" t="str">
        <f t="shared" si="8"/>
        <v/>
      </c>
      <c r="V93" s="1">
        <f t="shared" si="9"/>
        <v>1</v>
      </c>
      <c r="W93" t="str">
        <f t="shared" si="7"/>
        <v/>
      </c>
    </row>
    <row r="94" spans="1:23">
      <c r="A94" t="s">
        <v>98</v>
      </c>
      <c r="B94" t="s">
        <v>99</v>
      </c>
      <c r="C94" t="s">
        <v>100</v>
      </c>
      <c r="D94">
        <v>2017</v>
      </c>
      <c r="E94" t="s">
        <v>48</v>
      </c>
      <c r="F94" t="s">
        <v>22</v>
      </c>
      <c r="G94">
        <v>1500265</v>
      </c>
      <c r="H94">
        <v>37540</v>
      </c>
      <c r="I94" t="s">
        <v>23</v>
      </c>
      <c r="J94" t="s">
        <v>49</v>
      </c>
      <c r="K94" t="s">
        <v>50</v>
      </c>
      <c r="L94" t="s">
        <v>20</v>
      </c>
      <c r="M94">
        <v>31</v>
      </c>
      <c r="N94">
        <v>157</v>
      </c>
      <c r="O94">
        <v>973</v>
      </c>
      <c r="P94">
        <v>822</v>
      </c>
      <c r="Q94">
        <v>1</v>
      </c>
      <c r="R94" s="1">
        <f t="shared" si="10"/>
        <v>0.99897225077081198</v>
      </c>
      <c r="S94" t="s">
        <v>434</v>
      </c>
      <c r="T94" s="5">
        <v>1</v>
      </c>
      <c r="U94" s="4" t="str">
        <f t="shared" si="8"/>
        <v/>
      </c>
      <c r="V94" s="1">
        <f t="shared" si="9"/>
        <v>0.99897225077081198</v>
      </c>
      <c r="W94" t="str">
        <f t="shared" si="7"/>
        <v/>
      </c>
    </row>
    <row r="95" spans="1:23">
      <c r="A95" t="s">
        <v>86</v>
      </c>
      <c r="B95" t="s">
        <v>87</v>
      </c>
      <c r="C95" t="s">
        <v>88</v>
      </c>
      <c r="D95">
        <v>2018</v>
      </c>
      <c r="E95" t="s">
        <v>48</v>
      </c>
      <c r="F95" t="s">
        <v>22</v>
      </c>
      <c r="G95">
        <v>1500228</v>
      </c>
      <c r="H95">
        <v>52569</v>
      </c>
      <c r="I95" t="s">
        <v>23</v>
      </c>
      <c r="J95" t="s">
        <v>49</v>
      </c>
      <c r="K95" t="s">
        <v>50</v>
      </c>
      <c r="L95" t="s">
        <v>20</v>
      </c>
      <c r="M95">
        <v>59</v>
      </c>
      <c r="N95">
        <v>380</v>
      </c>
      <c r="O95">
        <v>2320</v>
      </c>
      <c r="P95">
        <v>1942</v>
      </c>
      <c r="Q95">
        <v>0</v>
      </c>
      <c r="R95" s="1">
        <f t="shared" si="10"/>
        <v>1</v>
      </c>
      <c r="S95" t="s">
        <v>435</v>
      </c>
      <c r="T95" s="5">
        <v>1</v>
      </c>
      <c r="U95" s="4" t="str">
        <f t="shared" si="8"/>
        <v/>
      </c>
      <c r="V95" s="1">
        <f t="shared" si="9"/>
        <v>1</v>
      </c>
      <c r="W95" t="str">
        <f t="shared" si="7"/>
        <v/>
      </c>
    </row>
    <row r="96" spans="1:23">
      <c r="A96" t="s">
        <v>79</v>
      </c>
      <c r="B96" t="s">
        <v>80</v>
      </c>
      <c r="C96" t="s">
        <v>81</v>
      </c>
      <c r="D96">
        <v>2019</v>
      </c>
      <c r="E96" t="s">
        <v>48</v>
      </c>
      <c r="F96" t="s">
        <v>22</v>
      </c>
      <c r="G96">
        <v>1500232</v>
      </c>
      <c r="H96">
        <v>42132</v>
      </c>
      <c r="I96" t="s">
        <v>23</v>
      </c>
      <c r="J96" t="s">
        <v>49</v>
      </c>
      <c r="K96" t="s">
        <v>50</v>
      </c>
      <c r="L96" t="s">
        <v>20</v>
      </c>
      <c r="M96">
        <v>131</v>
      </c>
      <c r="N96">
        <v>337</v>
      </c>
      <c r="O96">
        <v>1959</v>
      </c>
      <c r="P96">
        <v>1642</v>
      </c>
      <c r="Q96">
        <v>14</v>
      </c>
      <c r="R96" s="1">
        <f t="shared" si="10"/>
        <v>0.99285349668198064</v>
      </c>
      <c r="S96" t="s">
        <v>436</v>
      </c>
      <c r="T96" s="5" t="s">
        <v>437</v>
      </c>
      <c r="U96" s="4" t="str">
        <f t="shared" si="8"/>
        <v/>
      </c>
      <c r="V96" s="1">
        <f t="shared" si="9"/>
        <v>0.99285349668198064</v>
      </c>
      <c r="W96" t="str">
        <f t="shared" si="7"/>
        <v/>
      </c>
    </row>
    <row r="97" spans="1:23">
      <c r="A97" t="s">
        <v>82</v>
      </c>
      <c r="B97" t="s">
        <v>83</v>
      </c>
      <c r="C97" t="s">
        <v>84</v>
      </c>
      <c r="D97">
        <v>2019</v>
      </c>
      <c r="E97" t="s">
        <v>48</v>
      </c>
      <c r="F97" t="s">
        <v>22</v>
      </c>
      <c r="G97">
        <v>1500240</v>
      </c>
      <c r="H97">
        <v>29068</v>
      </c>
      <c r="I97" t="s">
        <v>23</v>
      </c>
      <c r="J97" t="s">
        <v>49</v>
      </c>
      <c r="K97" t="s">
        <v>50</v>
      </c>
      <c r="L97" t="s">
        <v>20</v>
      </c>
      <c r="M97">
        <v>45</v>
      </c>
      <c r="N97">
        <v>211</v>
      </c>
      <c r="O97">
        <v>1302</v>
      </c>
      <c r="P97">
        <v>1096</v>
      </c>
      <c r="Q97">
        <v>2</v>
      </c>
      <c r="R97" s="1">
        <f t="shared" si="10"/>
        <v>0.99846390168970811</v>
      </c>
      <c r="S97" t="s">
        <v>438</v>
      </c>
      <c r="T97" s="5">
        <v>1</v>
      </c>
      <c r="U97" s="4" t="str">
        <f t="shared" si="8"/>
        <v/>
      </c>
      <c r="V97" s="1">
        <f t="shared" si="9"/>
        <v>0.99846390168970811</v>
      </c>
      <c r="W97" t="str">
        <f t="shared" si="7"/>
        <v/>
      </c>
    </row>
    <row r="98" spans="1:23">
      <c r="A98" t="s">
        <v>61</v>
      </c>
      <c r="B98" t="s">
        <v>62</v>
      </c>
      <c r="C98" t="s">
        <v>63</v>
      </c>
      <c r="D98">
        <v>2020</v>
      </c>
      <c r="E98" t="s">
        <v>48</v>
      </c>
      <c r="F98" t="s">
        <v>22</v>
      </c>
      <c r="G98">
        <v>1500244</v>
      </c>
      <c r="H98">
        <v>34988</v>
      </c>
      <c r="I98" t="s">
        <v>23</v>
      </c>
      <c r="J98" t="s">
        <v>49</v>
      </c>
      <c r="K98" t="s">
        <v>50</v>
      </c>
      <c r="L98" t="s">
        <v>20</v>
      </c>
      <c r="M98">
        <v>57</v>
      </c>
      <c r="N98">
        <v>280</v>
      </c>
      <c r="O98">
        <v>1726</v>
      </c>
      <c r="P98">
        <v>1453</v>
      </c>
      <c r="Q98">
        <v>0</v>
      </c>
      <c r="R98" s="1">
        <f t="shared" si="10"/>
        <v>1</v>
      </c>
      <c r="S98" t="s">
        <v>439</v>
      </c>
      <c r="T98" s="5">
        <v>1</v>
      </c>
      <c r="U98" s="4" t="str">
        <f t="shared" si="8"/>
        <v/>
      </c>
      <c r="V98" s="1">
        <f t="shared" si="9"/>
        <v>1</v>
      </c>
      <c r="W98" t="str">
        <f t="shared" si="7"/>
        <v/>
      </c>
    </row>
    <row r="99" spans="1:23">
      <c r="A99" t="s">
        <v>64</v>
      </c>
      <c r="B99" t="s">
        <v>65</v>
      </c>
      <c r="C99" t="s">
        <v>66</v>
      </c>
      <c r="D99">
        <v>2020</v>
      </c>
      <c r="E99" t="s">
        <v>48</v>
      </c>
      <c r="F99" t="s">
        <v>22</v>
      </c>
      <c r="G99">
        <v>1500250</v>
      </c>
      <c r="H99">
        <v>14313</v>
      </c>
      <c r="I99" t="s">
        <v>23</v>
      </c>
      <c r="J99" t="s">
        <v>49</v>
      </c>
      <c r="K99" t="s">
        <v>50</v>
      </c>
      <c r="L99" t="s">
        <v>20</v>
      </c>
      <c r="M99">
        <v>35</v>
      </c>
      <c r="N99">
        <v>99</v>
      </c>
      <c r="O99">
        <v>587</v>
      </c>
      <c r="P99">
        <v>493</v>
      </c>
      <c r="Q99">
        <v>1</v>
      </c>
      <c r="R99" s="1">
        <f t="shared" si="10"/>
        <v>0.99829642248722317</v>
      </c>
      <c r="S99" t="s">
        <v>440</v>
      </c>
      <c r="T99" s="5">
        <v>1</v>
      </c>
      <c r="U99" s="4" t="str">
        <f t="shared" si="8"/>
        <v/>
      </c>
      <c r="V99" s="1">
        <f t="shared" si="9"/>
        <v>0.99829642248722317</v>
      </c>
      <c r="W99" t="str">
        <f t="shared" si="7"/>
        <v/>
      </c>
    </row>
    <row r="100" spans="1:23">
      <c r="A100" t="s">
        <v>67</v>
      </c>
      <c r="B100" t="s">
        <v>68</v>
      </c>
      <c r="C100" t="s">
        <v>69</v>
      </c>
      <c r="D100">
        <v>2020</v>
      </c>
      <c r="E100" t="s">
        <v>48</v>
      </c>
      <c r="F100" t="s">
        <v>22</v>
      </c>
      <c r="G100">
        <v>1500257</v>
      </c>
      <c r="H100">
        <v>24796</v>
      </c>
      <c r="I100" t="s">
        <v>23</v>
      </c>
      <c r="J100" t="s">
        <v>49</v>
      </c>
      <c r="K100" t="s">
        <v>50</v>
      </c>
      <c r="L100" t="s">
        <v>20</v>
      </c>
      <c r="M100">
        <v>53</v>
      </c>
      <c r="N100">
        <v>348</v>
      </c>
      <c r="O100">
        <v>2131</v>
      </c>
      <c r="P100">
        <v>1788</v>
      </c>
      <c r="Q100">
        <v>2</v>
      </c>
      <c r="R100" s="1">
        <f t="shared" si="10"/>
        <v>0.99906147348662599</v>
      </c>
      <c r="S100" t="s">
        <v>442</v>
      </c>
      <c r="T100" s="5" t="s">
        <v>441</v>
      </c>
      <c r="U100" s="4" t="str">
        <f t="shared" si="8"/>
        <v/>
      </c>
      <c r="V100" s="1">
        <f t="shared" si="9"/>
        <v>0.99906147348662599</v>
      </c>
      <c r="W100" t="str">
        <f t="shared" si="7"/>
        <v/>
      </c>
    </row>
    <row r="101" spans="1:23">
      <c r="A101" t="s">
        <v>52</v>
      </c>
      <c r="B101" t="s">
        <v>53</v>
      </c>
      <c r="C101" t="s">
        <v>54</v>
      </c>
      <c r="D101">
        <v>2021</v>
      </c>
      <c r="E101" t="s">
        <v>48</v>
      </c>
      <c r="F101" t="s">
        <v>22</v>
      </c>
      <c r="G101">
        <v>1500262</v>
      </c>
      <c r="H101">
        <v>25620</v>
      </c>
      <c r="I101" t="s">
        <v>23</v>
      </c>
      <c r="J101" t="s">
        <v>49</v>
      </c>
      <c r="K101" t="s">
        <v>50</v>
      </c>
      <c r="L101" t="s">
        <v>20</v>
      </c>
      <c r="M101">
        <v>61</v>
      </c>
      <c r="N101">
        <v>120</v>
      </c>
      <c r="O101">
        <v>711</v>
      </c>
      <c r="P101">
        <v>593</v>
      </c>
      <c r="Q101">
        <v>2</v>
      </c>
      <c r="R101" s="1">
        <f t="shared" si="10"/>
        <v>0.99718706047819972</v>
      </c>
      <c r="S101" t="s">
        <v>443</v>
      </c>
      <c r="T101" s="5">
        <v>1</v>
      </c>
      <c r="U101" s="4" t="str">
        <f t="shared" si="8"/>
        <v/>
      </c>
      <c r="V101" s="1">
        <f t="shared" si="9"/>
        <v>0.99718706047819972</v>
      </c>
      <c r="W101" t="str">
        <f t="shared" si="7"/>
        <v/>
      </c>
    </row>
    <row r="102" spans="1:23">
      <c r="A102" s="2"/>
      <c r="B102" s="2"/>
      <c r="C102" s="2"/>
      <c r="D102" s="2"/>
      <c r="E102" s="2"/>
      <c r="F102" s="2"/>
      <c r="G102" s="2"/>
      <c r="H102" s="2"/>
      <c r="I102" s="2"/>
      <c r="J102" s="2"/>
      <c r="K102" s="2"/>
      <c r="L102" s="2"/>
      <c r="M102" s="2"/>
      <c r="N102" s="2"/>
      <c r="O102" s="2"/>
      <c r="P102" s="2"/>
      <c r="Q102" s="2"/>
      <c r="R102" s="3"/>
      <c r="S102" s="2"/>
      <c r="T102" s="6"/>
      <c r="U102" s="4"/>
      <c r="V102" s="1"/>
    </row>
    <row r="108" spans="1:23">
      <c r="Q108" s="7"/>
      <c r="R108" s="7" t="s">
        <v>449</v>
      </c>
    </row>
    <row r="109" spans="1:23">
      <c r="Q109" s="8">
        <f>AVERAGE(R2:R101)</f>
        <v>0.99709033961018501</v>
      </c>
      <c r="R109" s="7" t="s">
        <v>446</v>
      </c>
    </row>
    <row r="110" spans="1:23">
      <c r="Q110" s="8">
        <f>AVERAGE(U2:U101)</f>
        <v>0.99439060013192937</v>
      </c>
      <c r="R110" s="7" t="s">
        <v>447</v>
      </c>
    </row>
    <row r="111" spans="1:23">
      <c r="Q111" s="8">
        <f>AVERAGE(V2:V101)</f>
        <v>0.9988901659290228</v>
      </c>
      <c r="R111" s="7" t="s">
        <v>448</v>
      </c>
    </row>
    <row r="112" spans="1:23">
      <c r="Q112" s="9">
        <f>AVERAGE(W2:W101)</f>
        <v>0.98946471697111793</v>
      </c>
      <c r="R112" s="7" t="s">
        <v>450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BA0C6-1F2F-449A-8FD0-2D74D0DD3BD3}">
  <dimension ref="A1:B5"/>
  <sheetViews>
    <sheetView rightToLeft="1" workbookViewId="0"/>
  </sheetViews>
  <sheetFormatPr defaultRowHeight="14.25"/>
  <cols>
    <col min="1" max="1" width="31.125" customWidth="1"/>
    <col min="2" max="2" width="39.25" customWidth="1"/>
  </cols>
  <sheetData>
    <row r="1" spans="1:2" ht="15">
      <c r="A1" s="7"/>
      <c r="B1" s="10" t="s">
        <v>449</v>
      </c>
    </row>
    <row r="2" spans="1:2">
      <c r="A2" s="11">
        <v>0.99709033961018501</v>
      </c>
      <c r="B2" s="7" t="s">
        <v>446</v>
      </c>
    </row>
    <row r="3" spans="1:2">
      <c r="A3" s="11">
        <v>0.99439060013192937</v>
      </c>
      <c r="B3" s="7" t="s">
        <v>447</v>
      </c>
    </row>
    <row r="4" spans="1:2">
      <c r="A4" s="11">
        <v>0.9988901659290228</v>
      </c>
      <c r="B4" s="7" t="s">
        <v>448</v>
      </c>
    </row>
    <row r="5" spans="1:2">
      <c r="A5" s="11">
        <v>0.98946471697111793</v>
      </c>
      <c r="B5" s="7" t="s">
        <v>450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7B69E2-B0AF-48ED-8B77-978A597AAB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Shafer-raviv Omri</dc:creator>
  <cp:lastModifiedBy>Shafer-raviv Omri</cp:lastModifiedBy>
  <dcterms:created xsi:type="dcterms:W3CDTF">2024-11-05T09:32:51Z</dcterms:created>
  <dcterms:modified xsi:type="dcterms:W3CDTF">2024-11-24T12:39:56Z</dcterms:modified>
</cp:coreProperties>
</file>