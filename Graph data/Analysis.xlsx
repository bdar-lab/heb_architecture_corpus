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ata\Research Projects\corpus_architecture\"/>
    </mc:Choice>
  </mc:AlternateContent>
  <xr:revisionPtr revIDLastSave="0" documentId="13_ncr:1_{07B1453A-E70A-4595-ABCA-12B47B44D805}" xr6:coauthVersionLast="47" xr6:coauthVersionMax="47" xr10:uidLastSave="{00000000-0000-0000-0000-000000000000}"/>
  <bookViews>
    <workbookView xWindow="28680" yWindow="-120" windowWidth="29040" windowHeight="15720" activeTab="1" xr2:uid="{2E4DB5A8-1CC4-4312-AEC5-CBB0E4EFE7A6}"/>
  </bookViews>
  <sheets>
    <sheet name="סביבה דיאכרוני" sheetId="1" r:id="rId1"/>
    <sheet name="סביבה קולוקציה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2" l="1"/>
  <c r="M35" i="2"/>
  <c r="N35" i="2"/>
  <c r="O35" i="2"/>
  <c r="N36" i="2"/>
  <c r="O36" i="2"/>
  <c r="N37" i="2"/>
  <c r="O37" i="2"/>
  <c r="L34" i="2"/>
  <c r="M34" i="2"/>
  <c r="N34" i="2"/>
  <c r="O34" i="2"/>
  <c r="K35" i="2"/>
  <c r="K34" i="2"/>
  <c r="O19" i="2"/>
  <c r="N19" i="2"/>
  <c r="M19" i="2"/>
  <c r="L19" i="2"/>
  <c r="K19" i="2"/>
  <c r="J19" i="2"/>
  <c r="O18" i="2"/>
  <c r="N18" i="2"/>
  <c r="M18" i="2"/>
  <c r="L18" i="2"/>
  <c r="K18" i="2"/>
  <c r="J18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3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3" i="2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8" i="1"/>
</calcChain>
</file>

<file path=xl/sharedStrings.xml><?xml version="1.0" encoding="utf-8"?>
<sst xmlns="http://schemas.openxmlformats.org/spreadsheetml/2006/main" count="73" uniqueCount="35">
  <si>
    <t>Category [↓]</t>
  </si>
  <si>
    <t>Frequency [↓]</t>
  </si>
  <si>
    <t>per million words in category</t>
  </si>
  <si>
    <t>Total:</t>
  </si>
  <si>
    <t>Based on classification: year</t>
  </si>
  <si>
    <t>Year</t>
  </si>
  <si>
    <t>איכות</t>
  </si>
  <si>
    <t>מגורים</t>
  </si>
  <si>
    <t>הגנה</t>
  </si>
  <si>
    <t>עבודה</t>
  </si>
  <si>
    <t>תכנון</t>
  </si>
  <si>
    <t>אדם</t>
  </si>
  <si>
    <t>פיתוח</t>
  </si>
  <si>
    <t>עיר</t>
  </si>
  <si>
    <t>שימור</t>
  </si>
  <si>
    <t>שכונה</t>
  </si>
  <si>
    <t>ציבורי</t>
  </si>
  <si>
    <t>1963-1972</t>
  </si>
  <si>
    <t>1973-1982</t>
  </si>
  <si>
    <t>1983-1992</t>
  </si>
  <si>
    <t>1993-2002</t>
  </si>
  <si>
    <t>2003-2012</t>
  </si>
  <si>
    <t>2013-2022</t>
  </si>
  <si>
    <t>עירוני</t>
  </si>
  <si>
    <t>כפרי</t>
  </si>
  <si>
    <t>אתר</t>
  </si>
  <si>
    <t>חקלאי</t>
  </si>
  <si>
    <t>כפר</t>
  </si>
  <si>
    <t>ימי</t>
  </si>
  <si>
    <t>Quality</t>
  </si>
  <si>
    <t>Residence</t>
  </si>
  <si>
    <t>Protection</t>
  </si>
  <si>
    <t>Work</t>
  </si>
  <si>
    <t>תנאי</t>
  </si>
  <si>
    <t>5y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</si>
</sst>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sz val="11"/>
      <color rgb="FFFF0000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4" fontId="0" fillId="0" borderId="0" xfId="0" applyNumberFormat="1"/>
    <xf numFmtId="2" fontId="0" fillId="0" borderId="0" xfId="0" applyNumberFormat="1"/>
    <xf numFmtId="0" fontId="2" fillId="0" borderId="0" xfId="0" applyFont="1"/>
    <xf numFmtId="9" fontId="0" fillId="0" borderId="0" xfId="1" applyFont="1"/>
    <xf numFmtId="0" fontId="0" fillId="0" borderId="0" xfId="0" applyFill="1"/>
    <xf numFmtId="0" fontId="2" fillId="0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35441763405836"/>
          <c:y val="0.11514162349046245"/>
          <c:w val="0.85058791148000323"/>
          <c:h val="0.73158488854037218"/>
        </c:manualLayout>
      </c:layout>
      <c:lineChart>
        <c:grouping val="standard"/>
        <c:varyColors val="0"/>
        <c:ser>
          <c:idx val="0"/>
          <c:order val="0"/>
          <c:tx>
            <c:strRef>
              <c:f>'סביבה דיאכרוני'!$G$7</c:f>
              <c:strCache>
                <c:ptCount val="1"/>
                <c:pt idx="0">
                  <c:v>5y 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1911438725063167E-17"/>
                  <c:y val="-1.24175382572620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197-4BBE-A7FF-2F2889FA29C2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197-4BBE-A7FF-2F2889FA29C2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197-4BBE-A7FF-2F2889FA29C2}"/>
                </c:ext>
              </c:extLst>
            </c:dLbl>
            <c:dLbl>
              <c:idx val="12"/>
              <c:layout>
                <c:manualLayout>
                  <c:x val="-1.9147084421235919E-2"/>
                  <c:y val="-8.38183832365189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197-4BBE-A7FF-2F2889FA29C2}"/>
                </c:ext>
              </c:extLst>
            </c:dLbl>
            <c:dLbl>
              <c:idx val="20"/>
              <c:layout>
                <c:manualLayout>
                  <c:x val="0"/>
                  <c:y val="-3.10438456431551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197-4BBE-A7FF-2F2889FA29C2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197-4BBE-A7FF-2F2889FA29C2}"/>
                </c:ext>
              </c:extLst>
            </c:dLbl>
            <c:dLbl>
              <c:idx val="3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197-4BBE-A7FF-2F2889FA29C2}"/>
                </c:ext>
              </c:extLst>
            </c:dLbl>
            <c:dLbl>
              <c:idx val="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197-4BBE-A7FF-2F2889FA29C2}"/>
                </c:ext>
              </c:extLst>
            </c:dLbl>
            <c:dLbl>
              <c:idx val="44"/>
              <c:layout>
                <c:manualLayout>
                  <c:x val="0"/>
                  <c:y val="-2.79394610788396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197-4BBE-A7FF-2F2889FA29C2}"/>
                </c:ext>
              </c:extLst>
            </c:dLbl>
            <c:dLbl>
              <c:idx val="60"/>
              <c:layout>
                <c:manualLayout>
                  <c:x val="3.4812880765883376E-3"/>
                  <c:y val="-5.27745375933637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197-4BBE-A7FF-2F2889FA29C2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'סביבה דיאכרוני'!$F$8:$F$72</c:f>
              <c:numCache>
                <c:formatCode>General</c:formatCode>
                <c:ptCount val="65"/>
                <c:pt idx="0">
                  <c:v>1958</c:v>
                </c:pt>
                <c:pt idx="1">
                  <c:v>1959</c:v>
                </c:pt>
                <c:pt idx="2">
                  <c:v>1960</c:v>
                </c:pt>
                <c:pt idx="3">
                  <c:v>1961</c:v>
                </c:pt>
                <c:pt idx="4">
                  <c:v>1962</c:v>
                </c:pt>
                <c:pt idx="5">
                  <c:v>1963</c:v>
                </c:pt>
                <c:pt idx="6">
                  <c:v>1964</c:v>
                </c:pt>
                <c:pt idx="7">
                  <c:v>1965</c:v>
                </c:pt>
                <c:pt idx="8">
                  <c:v>1966</c:v>
                </c:pt>
                <c:pt idx="9">
                  <c:v>1967</c:v>
                </c:pt>
                <c:pt idx="10">
                  <c:v>1968</c:v>
                </c:pt>
                <c:pt idx="11">
                  <c:v>1969</c:v>
                </c:pt>
                <c:pt idx="12">
                  <c:v>1970</c:v>
                </c:pt>
                <c:pt idx="13">
                  <c:v>1971</c:v>
                </c:pt>
                <c:pt idx="14">
                  <c:v>1972</c:v>
                </c:pt>
                <c:pt idx="15">
                  <c:v>1973</c:v>
                </c:pt>
                <c:pt idx="16">
                  <c:v>1974</c:v>
                </c:pt>
                <c:pt idx="17">
                  <c:v>1975</c:v>
                </c:pt>
                <c:pt idx="18">
                  <c:v>1976</c:v>
                </c:pt>
                <c:pt idx="19">
                  <c:v>1977</c:v>
                </c:pt>
                <c:pt idx="20">
                  <c:v>1978</c:v>
                </c:pt>
                <c:pt idx="21">
                  <c:v>1979</c:v>
                </c:pt>
                <c:pt idx="22">
                  <c:v>1980</c:v>
                </c:pt>
                <c:pt idx="23">
                  <c:v>1981</c:v>
                </c:pt>
                <c:pt idx="24">
                  <c:v>1982</c:v>
                </c:pt>
                <c:pt idx="25">
                  <c:v>1983</c:v>
                </c:pt>
                <c:pt idx="26">
                  <c:v>1984</c:v>
                </c:pt>
                <c:pt idx="27">
                  <c:v>1985</c:v>
                </c:pt>
                <c:pt idx="28">
                  <c:v>1986</c:v>
                </c:pt>
                <c:pt idx="29">
                  <c:v>1987</c:v>
                </c:pt>
                <c:pt idx="30">
                  <c:v>1988</c:v>
                </c:pt>
                <c:pt idx="31">
                  <c:v>1989</c:v>
                </c:pt>
                <c:pt idx="32">
                  <c:v>1990</c:v>
                </c:pt>
                <c:pt idx="33">
                  <c:v>1991</c:v>
                </c:pt>
                <c:pt idx="34">
                  <c:v>1992</c:v>
                </c:pt>
                <c:pt idx="35">
                  <c:v>1993</c:v>
                </c:pt>
                <c:pt idx="36">
                  <c:v>1994</c:v>
                </c:pt>
                <c:pt idx="37">
                  <c:v>1995</c:v>
                </c:pt>
                <c:pt idx="38">
                  <c:v>1996</c:v>
                </c:pt>
                <c:pt idx="39">
                  <c:v>1997</c:v>
                </c:pt>
                <c:pt idx="40">
                  <c:v>1998</c:v>
                </c:pt>
                <c:pt idx="41">
                  <c:v>1999</c:v>
                </c:pt>
                <c:pt idx="42">
                  <c:v>2000</c:v>
                </c:pt>
                <c:pt idx="43">
                  <c:v>2001</c:v>
                </c:pt>
                <c:pt idx="44">
                  <c:v>2002</c:v>
                </c:pt>
                <c:pt idx="45">
                  <c:v>2003</c:v>
                </c:pt>
                <c:pt idx="46">
                  <c:v>2004</c:v>
                </c:pt>
                <c:pt idx="47">
                  <c:v>2005</c:v>
                </c:pt>
                <c:pt idx="48">
                  <c:v>2006</c:v>
                </c:pt>
                <c:pt idx="49">
                  <c:v>2007</c:v>
                </c:pt>
                <c:pt idx="50">
                  <c:v>2008</c:v>
                </c:pt>
                <c:pt idx="51">
                  <c:v>2009</c:v>
                </c:pt>
                <c:pt idx="52">
                  <c:v>2010</c:v>
                </c:pt>
                <c:pt idx="53">
                  <c:v>2011</c:v>
                </c:pt>
                <c:pt idx="54">
                  <c:v>2012</c:v>
                </c:pt>
                <c:pt idx="55">
                  <c:v>2013</c:v>
                </c:pt>
                <c:pt idx="56">
                  <c:v>2014</c:v>
                </c:pt>
                <c:pt idx="57">
                  <c:v>2015</c:v>
                </c:pt>
                <c:pt idx="58">
                  <c:v>2016</c:v>
                </c:pt>
                <c:pt idx="59">
                  <c:v>2017</c:v>
                </c:pt>
                <c:pt idx="60">
                  <c:v>2018</c:v>
                </c:pt>
                <c:pt idx="61">
                  <c:v>2019</c:v>
                </c:pt>
                <c:pt idx="62">
                  <c:v>2020</c:v>
                </c:pt>
                <c:pt idx="63">
                  <c:v>2021</c:v>
                </c:pt>
                <c:pt idx="64">
                  <c:v>2022</c:v>
                </c:pt>
              </c:numCache>
            </c:numRef>
          </c:cat>
          <c:val>
            <c:numRef>
              <c:f>'סביבה דיאכרוני'!$G$8:$G$72</c:f>
              <c:numCache>
                <c:formatCode>General</c:formatCode>
                <c:ptCount val="65"/>
                <c:pt idx="0">
                  <c:v>670.65800000000002</c:v>
                </c:pt>
                <c:pt idx="1">
                  <c:v>502.65999999999997</c:v>
                </c:pt>
                <c:pt idx="2">
                  <c:v>615.68200000000002</c:v>
                </c:pt>
                <c:pt idx="3">
                  <c:v>440.72000000000008</c:v>
                </c:pt>
                <c:pt idx="4">
                  <c:v>469.85399999999998</c:v>
                </c:pt>
                <c:pt idx="5">
                  <c:v>411.572</c:v>
                </c:pt>
                <c:pt idx="6">
                  <c:v>510.97399999999999</c:v>
                </c:pt>
                <c:pt idx="7">
                  <c:v>674.41599999999994</c:v>
                </c:pt>
                <c:pt idx="8">
                  <c:v>671.1400000000001</c:v>
                </c:pt>
                <c:pt idx="9">
                  <c:v>1011.2059999999999</c:v>
                </c:pt>
                <c:pt idx="10">
                  <c:v>1021.07</c:v>
                </c:pt>
                <c:pt idx="11">
                  <c:v>1109.998</c:v>
                </c:pt>
                <c:pt idx="12">
                  <c:v>927.76800000000003</c:v>
                </c:pt>
                <c:pt idx="13">
                  <c:v>1011.11</c:v>
                </c:pt>
                <c:pt idx="14">
                  <c:v>735.98599999999999</c:v>
                </c:pt>
                <c:pt idx="15">
                  <c:v>846.67599999999982</c:v>
                </c:pt>
                <c:pt idx="16">
                  <c:v>952.36</c:v>
                </c:pt>
                <c:pt idx="17">
                  <c:v>1168.08</c:v>
                </c:pt>
                <c:pt idx="18">
                  <c:v>1713.7740000000001</c:v>
                </c:pt>
                <c:pt idx="19">
                  <c:v>1706.5620000000004</c:v>
                </c:pt>
                <c:pt idx="20">
                  <c:v>1663.002</c:v>
                </c:pt>
                <c:pt idx="21">
                  <c:v>1526.028</c:v>
                </c:pt>
                <c:pt idx="22">
                  <c:v>1307.104</c:v>
                </c:pt>
                <c:pt idx="23">
                  <c:v>796.89600000000007</c:v>
                </c:pt>
                <c:pt idx="24">
                  <c:v>772.47800000000007</c:v>
                </c:pt>
                <c:pt idx="25">
                  <c:v>673.47399999999993</c:v>
                </c:pt>
                <c:pt idx="26">
                  <c:v>536.18799999999999</c:v>
                </c:pt>
                <c:pt idx="27">
                  <c:v>564.0440000000001</c:v>
                </c:pt>
                <c:pt idx="28">
                  <c:v>518.23400000000004</c:v>
                </c:pt>
                <c:pt idx="29">
                  <c:v>474</c:v>
                </c:pt>
                <c:pt idx="30">
                  <c:v>535.81999999999994</c:v>
                </c:pt>
                <c:pt idx="31">
                  <c:v>601.43200000000002</c:v>
                </c:pt>
                <c:pt idx="32">
                  <c:v>545.37599999999998</c:v>
                </c:pt>
                <c:pt idx="33">
                  <c:v>701.51</c:v>
                </c:pt>
                <c:pt idx="34">
                  <c:v>747.47200000000009</c:v>
                </c:pt>
                <c:pt idx="35">
                  <c:v>944.7639999999999</c:v>
                </c:pt>
                <c:pt idx="36">
                  <c:v>1074.9859999999999</c:v>
                </c:pt>
                <c:pt idx="37">
                  <c:v>1171.0759999999998</c:v>
                </c:pt>
                <c:pt idx="38">
                  <c:v>1229.5440000000001</c:v>
                </c:pt>
                <c:pt idx="39">
                  <c:v>1395.94</c:v>
                </c:pt>
                <c:pt idx="40">
                  <c:v>1469.596</c:v>
                </c:pt>
                <c:pt idx="41">
                  <c:v>1500.56</c:v>
                </c:pt>
                <c:pt idx="42">
                  <c:v>1581.3920000000001</c:v>
                </c:pt>
                <c:pt idx="43">
                  <c:v>1621.5540000000001</c:v>
                </c:pt>
                <c:pt idx="44">
                  <c:v>1663.0880000000002</c:v>
                </c:pt>
                <c:pt idx="45">
                  <c:v>1590.3020000000001</c:v>
                </c:pt>
                <c:pt idx="46">
                  <c:v>1619.876</c:v>
                </c:pt>
                <c:pt idx="47">
                  <c:v>1617.818</c:v>
                </c:pt>
                <c:pt idx="48">
                  <c:v>1641.2040000000002</c:v>
                </c:pt>
                <c:pt idx="49">
                  <c:v>1570.048</c:v>
                </c:pt>
                <c:pt idx="50">
                  <c:v>1536.2840000000001</c:v>
                </c:pt>
                <c:pt idx="51">
                  <c:v>1567.8140000000001</c:v>
                </c:pt>
                <c:pt idx="52">
                  <c:v>1479.27</c:v>
                </c:pt>
                <c:pt idx="53">
                  <c:v>1246.71</c:v>
                </c:pt>
                <c:pt idx="54">
                  <c:v>1173.2360000000001</c:v>
                </c:pt>
                <c:pt idx="55">
                  <c:v>1475.8679999999999</c:v>
                </c:pt>
                <c:pt idx="56">
                  <c:v>1347.152</c:v>
                </c:pt>
                <c:pt idx="57">
                  <c:v>1493.8040000000001</c:v>
                </c:pt>
                <c:pt idx="58">
                  <c:v>1758.95</c:v>
                </c:pt>
                <c:pt idx="59">
                  <c:v>1801.6260000000002</c:v>
                </c:pt>
                <c:pt idx="60">
                  <c:v>1467.538</c:v>
                </c:pt>
                <c:pt idx="61">
                  <c:v>1408.902</c:v>
                </c:pt>
                <c:pt idx="62">
                  <c:v>1298.1219999999998</c:v>
                </c:pt>
                <c:pt idx="63">
                  <c:v>1173.3619999999999</c:v>
                </c:pt>
                <c:pt idx="64">
                  <c:v>1057.5939999999998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97-4BBE-A7FF-2F2889FA2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61748304"/>
        <c:axId val="61747824"/>
      </c:lineChart>
      <c:catAx>
        <c:axId val="6174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47824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61747824"/>
        <c:scaling>
          <c:orientation val="minMax"/>
          <c:max val="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48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51531564103686"/>
          <c:y val="3.1007751937984496E-2"/>
          <c:w val="0.86374990224923243"/>
          <c:h val="0.83934211183432939"/>
        </c:manualLayout>
      </c:layout>
      <c:lineChart>
        <c:grouping val="standard"/>
        <c:varyColors val="0"/>
        <c:ser>
          <c:idx val="0"/>
          <c:order val="0"/>
          <c:tx>
            <c:strRef>
              <c:f>'סביבה קולוקציה'!$I$24</c:f>
              <c:strCache>
                <c:ptCount val="1"/>
                <c:pt idx="0">
                  <c:v>Quality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'סביבה קולוקציה'!$J$23:$O$23</c:f>
              <c:strCache>
                <c:ptCount val="6"/>
                <c:pt idx="0">
                  <c:v>1963-1972</c:v>
                </c:pt>
                <c:pt idx="1">
                  <c:v>1973-1982</c:v>
                </c:pt>
                <c:pt idx="2">
                  <c:v>1983-1992</c:v>
                </c:pt>
                <c:pt idx="3">
                  <c:v>1993-2002</c:v>
                </c:pt>
                <c:pt idx="4">
                  <c:v>2003-2012</c:v>
                </c:pt>
                <c:pt idx="5">
                  <c:v>2013-2022</c:v>
                </c:pt>
              </c:strCache>
            </c:strRef>
          </c:cat>
          <c:val>
            <c:numRef>
              <c:f>'סביבה קולוקציה'!$J$24:$O$24</c:f>
              <c:numCache>
                <c:formatCode>0.00</c:formatCode>
                <c:ptCount val="6"/>
                <c:pt idx="0">
                  <c:v>21.635635208139515</c:v>
                </c:pt>
                <c:pt idx="1">
                  <c:v>234.66658720284877</c:v>
                </c:pt>
                <c:pt idx="2">
                  <c:v>69.934129363512582</c:v>
                </c:pt>
                <c:pt idx="3">
                  <c:v>293.92482578655682</c:v>
                </c:pt>
                <c:pt idx="4">
                  <c:v>123.79592679838132</c:v>
                </c:pt>
                <c:pt idx="5">
                  <c:v>42.103403281364024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F9-4948-9ADF-D94E98E3B25E}"/>
            </c:ext>
          </c:extLst>
        </c:ser>
        <c:ser>
          <c:idx val="1"/>
          <c:order val="1"/>
          <c:tx>
            <c:strRef>
              <c:f>'סביבה קולוקציה'!$I$25</c:f>
              <c:strCache>
                <c:ptCount val="1"/>
                <c:pt idx="0">
                  <c:v>Residence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'סביבה קולוקציה'!$J$23:$O$23</c:f>
              <c:strCache>
                <c:ptCount val="6"/>
                <c:pt idx="0">
                  <c:v>1963-1972</c:v>
                </c:pt>
                <c:pt idx="1">
                  <c:v>1973-1982</c:v>
                </c:pt>
                <c:pt idx="2">
                  <c:v>1983-1992</c:v>
                </c:pt>
                <c:pt idx="3">
                  <c:v>1993-2002</c:v>
                </c:pt>
                <c:pt idx="4">
                  <c:v>2003-2012</c:v>
                </c:pt>
                <c:pt idx="5">
                  <c:v>2013-2022</c:v>
                </c:pt>
              </c:strCache>
            </c:strRef>
          </c:cat>
          <c:val>
            <c:numRef>
              <c:f>'סביבה קולוקציה'!$J$25:$O$25</c:f>
              <c:numCache>
                <c:formatCode>0.00</c:formatCode>
                <c:ptCount val="6"/>
                <c:pt idx="0">
                  <c:v>50.796708749544948</c:v>
                </c:pt>
                <c:pt idx="1">
                  <c:v>152.71952500502857</c:v>
                </c:pt>
                <c:pt idx="2">
                  <c:v>39.309379903673737</c:v>
                </c:pt>
                <c:pt idx="3">
                  <c:v>103.38689110206506</c:v>
                </c:pt>
                <c:pt idx="4">
                  <c:v>56.929760482352883</c:v>
                </c:pt>
                <c:pt idx="5">
                  <c:v>107.69223093643689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F9-4948-9ADF-D94E98E3B25E}"/>
            </c:ext>
          </c:extLst>
        </c:ser>
        <c:ser>
          <c:idx val="2"/>
          <c:order val="2"/>
          <c:tx>
            <c:strRef>
              <c:f>'סביבה קולוקציה'!$I$26</c:f>
              <c:strCache>
                <c:ptCount val="1"/>
                <c:pt idx="0">
                  <c:v>Protection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'סביבה קולוקציה'!$J$23:$O$23</c:f>
              <c:strCache>
                <c:ptCount val="6"/>
                <c:pt idx="0">
                  <c:v>1963-1972</c:v>
                </c:pt>
                <c:pt idx="1">
                  <c:v>1973-1982</c:v>
                </c:pt>
                <c:pt idx="2">
                  <c:v>1983-1992</c:v>
                </c:pt>
                <c:pt idx="3">
                  <c:v>1993-2002</c:v>
                </c:pt>
                <c:pt idx="4">
                  <c:v>2003-2012</c:v>
                </c:pt>
                <c:pt idx="5">
                  <c:v>2013-2022</c:v>
                </c:pt>
              </c:strCache>
            </c:strRef>
          </c:cat>
          <c:val>
            <c:numRef>
              <c:f>'סביבה קולוקציה'!$J$26:$O$26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2.6126651181027274</c:v>
                </c:pt>
                <c:pt idx="4">
                  <c:v>28.990925255900443</c:v>
                </c:pt>
                <c:pt idx="5">
                  <c:v>66.197258338329561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F9-4948-9ADF-D94E98E3B25E}"/>
            </c:ext>
          </c:extLst>
        </c:ser>
        <c:ser>
          <c:idx val="3"/>
          <c:order val="3"/>
          <c:tx>
            <c:strRef>
              <c:f>'סביבה קולוקציה'!$I$27</c:f>
              <c:strCache>
                <c:ptCount val="1"/>
                <c:pt idx="0">
                  <c:v>Work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'סביבה קולוקציה'!$J$23:$O$23</c:f>
              <c:strCache>
                <c:ptCount val="6"/>
                <c:pt idx="0">
                  <c:v>1963-1972</c:v>
                </c:pt>
                <c:pt idx="1">
                  <c:v>1973-1982</c:v>
                </c:pt>
                <c:pt idx="2">
                  <c:v>1983-1992</c:v>
                </c:pt>
                <c:pt idx="3">
                  <c:v>1993-2002</c:v>
                </c:pt>
                <c:pt idx="4">
                  <c:v>2003-2012</c:v>
                </c:pt>
                <c:pt idx="5">
                  <c:v>2013-2022</c:v>
                </c:pt>
              </c:strCache>
            </c:strRef>
          </c:cat>
          <c:val>
            <c:numRef>
              <c:f>'סביבה קולוקציה'!$J$27:$O$27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2.285429064167078</c:v>
                </c:pt>
                <c:pt idx="3">
                  <c:v>6.5316627952568185</c:v>
                </c:pt>
                <c:pt idx="4">
                  <c:v>27.003644089165334</c:v>
                </c:pt>
                <c:pt idx="5">
                  <c:v>37.35764395196172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F9-4948-9ADF-D94E98E3B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444064"/>
        <c:axId val="273444544"/>
      </c:lineChart>
      <c:catAx>
        <c:axId val="27344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444544"/>
        <c:crosses val="autoZero"/>
        <c:auto val="1"/>
        <c:lblAlgn val="ctr"/>
        <c:lblOffset val="100"/>
        <c:noMultiLvlLbl val="0"/>
      </c:catAx>
      <c:valAx>
        <c:axId val="27344454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44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28</xdr:row>
      <xdr:rowOff>109537</xdr:rowOff>
    </xdr:from>
    <xdr:to>
      <xdr:col>18</xdr:col>
      <xdr:colOff>438150</xdr:colOff>
      <xdr:row>51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FFEBD3-9028-C09E-3F43-F4BE7D5AC2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0.01567</cdr:x>
      <cdr:y>0.22468</cdr:y>
    </cdr:from>
    <cdr:to>
      <cdr:x>0.06527</cdr:x>
      <cdr:y>0.71828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38B4584-4BF3-D64F-8308-E273834A8F7F}"/>
            </a:ext>
          </a:extLst>
        </cdr:cNvPr>
        <cdr:cNvSpPr txBox="1"/>
      </cdr:nvSpPr>
      <cdr:spPr>
        <a:xfrm xmlns:a="http://schemas.openxmlformats.org/drawingml/2006/main">
          <a:off x="114300" y="919163"/>
          <a:ext cx="361950" cy="2019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non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Frequency per million words  </a:t>
          </a:r>
        </a:p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0.49217</cdr:x>
      <cdr:y>0.9092</cdr:y>
    </cdr:from>
    <cdr:to>
      <cdr:x>0.56527</cdr:x>
      <cdr:y>0.9837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C5475240-5F63-AFCB-670E-F94B99526461}"/>
            </a:ext>
          </a:extLst>
        </cdr:cNvPr>
        <cdr:cNvSpPr txBox="1"/>
      </cdr:nvSpPr>
      <cdr:spPr>
        <a:xfrm xmlns:a="http://schemas.openxmlformats.org/drawingml/2006/main">
          <a:off x="3590925" y="3719513"/>
          <a:ext cx="533400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 kern="1200"/>
            <a:t>Years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285749</xdr:colOff>
      <xdr:row>9</xdr:row>
      <xdr:rowOff>76200</xdr:rowOff>
    </xdr:from>
    <xdr:to>
      <xdr:col>27</xdr:col>
      <xdr:colOff>619125</xdr:colOff>
      <xdr:row>34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1601A9F-5CCC-9DFB-9C56-C8368FD19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0.02177</cdr:x>
      <cdr:y>0.35307</cdr:y>
    </cdr:from>
    <cdr:to>
      <cdr:x>0.05804</cdr:x>
      <cdr:y>0.55603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491AE3C-5BF6-846D-7E8C-20175EF02743}"/>
            </a:ext>
          </a:extLst>
        </cdr:cNvPr>
        <cdr:cNvSpPr txBox="1"/>
      </cdr:nvSpPr>
      <cdr:spPr>
        <a:xfrm xmlns:a="http://schemas.openxmlformats.org/drawingml/2006/main" rot="5400000">
          <a:off x="-142874" y="1905000"/>
          <a:ext cx="9144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/>
            <a:t>Algoritmic scale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ACD0C-2EFC-42DD-82FF-DFBE37D07CC5}">
  <dimension ref="A1:G73"/>
  <sheetViews>
    <sheetView workbookViewId="0">
      <selection activeCell="K16" sqref="K16"/>
    </sheetView>
  </sheetViews>
  <sheetFormatPr defaultRowHeight="14.25" x14ac:dyDescent="0.2"/>
  <cols>
    <col min="1" max="1" width="31" customWidth="1"/>
    <col min="2" max="2" width="26.625" customWidth="1"/>
  </cols>
  <sheetData>
    <row r="1" spans="1:7" x14ac:dyDescent="0.2">
      <c r="A1" t="s">
        <v>4</v>
      </c>
    </row>
    <row r="2" spans="1:7" x14ac:dyDescent="0.2">
      <c r="A2" t="s">
        <v>0</v>
      </c>
      <c r="B2" t="s">
        <v>1</v>
      </c>
    </row>
    <row r="3" spans="1:7" x14ac:dyDescent="0.2">
      <c r="B3" t="s">
        <v>2</v>
      </c>
    </row>
    <row r="4" spans="1:7" x14ac:dyDescent="0.2">
      <c r="A4">
        <v>1953</v>
      </c>
      <c r="B4" s="1">
        <v>1094.43</v>
      </c>
    </row>
    <row r="5" spans="1:7" x14ac:dyDescent="0.2">
      <c r="A5">
        <v>1954</v>
      </c>
      <c r="B5">
        <v>218.96</v>
      </c>
    </row>
    <row r="6" spans="1:7" x14ac:dyDescent="0.2">
      <c r="A6">
        <v>1956</v>
      </c>
      <c r="B6">
        <v>961.54</v>
      </c>
    </row>
    <row r="7" spans="1:7" x14ac:dyDescent="0.2">
      <c r="A7">
        <v>1957</v>
      </c>
      <c r="B7">
        <v>340.6</v>
      </c>
      <c r="F7" t="s">
        <v>5</v>
      </c>
      <c r="G7" t="s">
        <v>34</v>
      </c>
    </row>
    <row r="8" spans="1:7" x14ac:dyDescent="0.2">
      <c r="A8">
        <v>1958</v>
      </c>
      <c r="B8">
        <v>737.76</v>
      </c>
      <c r="C8" s="1">
        <f>AVERAGE(B4:B8)</f>
        <v>670.65800000000002</v>
      </c>
      <c r="F8">
        <v>1958</v>
      </c>
      <c r="G8">
        <v>670.65800000000002</v>
      </c>
    </row>
    <row r="9" spans="1:7" x14ac:dyDescent="0.2">
      <c r="A9">
        <v>1959</v>
      </c>
      <c r="B9">
        <v>254.44</v>
      </c>
      <c r="C9" s="1">
        <f t="shared" ref="C9:C72" si="0">AVERAGE(B5:B9)</f>
        <v>502.65999999999997</v>
      </c>
      <c r="F9">
        <v>1959</v>
      </c>
      <c r="G9">
        <v>502.65999999999997</v>
      </c>
    </row>
    <row r="10" spans="1:7" x14ac:dyDescent="0.2">
      <c r="A10">
        <v>1960</v>
      </c>
      <c r="B10">
        <v>784.07</v>
      </c>
      <c r="C10" s="1">
        <f t="shared" si="0"/>
        <v>615.68200000000002</v>
      </c>
      <c r="F10">
        <v>1960</v>
      </c>
      <c r="G10">
        <v>615.68200000000002</v>
      </c>
    </row>
    <row r="11" spans="1:7" x14ac:dyDescent="0.2">
      <c r="A11">
        <v>1961</v>
      </c>
      <c r="B11">
        <v>86.73</v>
      </c>
      <c r="C11" s="1">
        <f t="shared" si="0"/>
        <v>440.72000000000008</v>
      </c>
      <c r="F11">
        <v>1961</v>
      </c>
      <c r="G11">
        <v>440.72000000000008</v>
      </c>
    </row>
    <row r="12" spans="1:7" x14ac:dyDescent="0.2">
      <c r="A12">
        <v>1962</v>
      </c>
      <c r="B12">
        <v>486.27</v>
      </c>
      <c r="C12" s="1">
        <f t="shared" si="0"/>
        <v>469.85399999999998</v>
      </c>
      <c r="F12">
        <v>1962</v>
      </c>
      <c r="G12">
        <v>469.85399999999998</v>
      </c>
    </row>
    <row r="13" spans="1:7" x14ac:dyDescent="0.2">
      <c r="A13">
        <v>1963</v>
      </c>
      <c r="B13">
        <v>446.35</v>
      </c>
      <c r="C13" s="1">
        <f t="shared" si="0"/>
        <v>411.572</v>
      </c>
      <c r="F13">
        <v>1963</v>
      </c>
      <c r="G13">
        <v>411.572</v>
      </c>
    </row>
    <row r="14" spans="1:7" x14ac:dyDescent="0.2">
      <c r="A14">
        <v>1964</v>
      </c>
      <c r="B14">
        <v>751.45</v>
      </c>
      <c r="C14" s="1">
        <f t="shared" si="0"/>
        <v>510.97399999999999</v>
      </c>
      <c r="F14">
        <v>1964</v>
      </c>
      <c r="G14">
        <v>510.97399999999999</v>
      </c>
    </row>
    <row r="15" spans="1:7" x14ac:dyDescent="0.2">
      <c r="A15">
        <v>1965</v>
      </c>
      <c r="B15" s="1">
        <v>1601.28</v>
      </c>
      <c r="C15" s="1">
        <f t="shared" si="0"/>
        <v>674.41599999999994</v>
      </c>
      <c r="F15">
        <v>1965</v>
      </c>
      <c r="G15">
        <v>674.41599999999994</v>
      </c>
    </row>
    <row r="16" spans="1:7" x14ac:dyDescent="0.2">
      <c r="A16">
        <v>1966</v>
      </c>
      <c r="B16">
        <v>70.349999999999994</v>
      </c>
      <c r="C16" s="1">
        <f t="shared" si="0"/>
        <v>671.1400000000001</v>
      </c>
      <c r="F16">
        <v>1966</v>
      </c>
      <c r="G16">
        <v>671.1400000000001</v>
      </c>
    </row>
    <row r="17" spans="1:7" x14ac:dyDescent="0.2">
      <c r="A17">
        <v>1967</v>
      </c>
      <c r="B17" s="1">
        <v>2186.6</v>
      </c>
      <c r="C17" s="1">
        <f t="shared" si="0"/>
        <v>1011.2059999999999</v>
      </c>
      <c r="F17">
        <v>1967</v>
      </c>
      <c r="G17">
        <v>1011.2059999999999</v>
      </c>
    </row>
    <row r="18" spans="1:7" x14ac:dyDescent="0.2">
      <c r="A18">
        <v>1968</v>
      </c>
      <c r="B18">
        <v>495.67</v>
      </c>
      <c r="C18" s="1">
        <f t="shared" si="0"/>
        <v>1021.07</v>
      </c>
      <c r="F18">
        <v>1968</v>
      </c>
      <c r="G18">
        <v>1021.07</v>
      </c>
    </row>
    <row r="19" spans="1:7" x14ac:dyDescent="0.2">
      <c r="A19">
        <v>1969</v>
      </c>
      <c r="B19" s="1">
        <v>1196.0899999999999</v>
      </c>
      <c r="C19" s="1">
        <f t="shared" si="0"/>
        <v>1109.998</v>
      </c>
      <c r="F19">
        <v>1969</v>
      </c>
      <c r="G19">
        <v>1109.998</v>
      </c>
    </row>
    <row r="20" spans="1:7" x14ac:dyDescent="0.2">
      <c r="A20">
        <v>1970</v>
      </c>
      <c r="B20">
        <v>690.13</v>
      </c>
      <c r="C20" s="1">
        <f t="shared" si="0"/>
        <v>927.76800000000003</v>
      </c>
      <c r="F20">
        <v>1970</v>
      </c>
      <c r="G20">
        <v>927.76800000000003</v>
      </c>
    </row>
    <row r="21" spans="1:7" x14ac:dyDescent="0.2">
      <c r="A21">
        <v>1971</v>
      </c>
      <c r="B21">
        <v>487.06</v>
      </c>
      <c r="C21" s="1">
        <f t="shared" si="0"/>
        <v>1011.11</v>
      </c>
      <c r="F21">
        <v>1971</v>
      </c>
      <c r="G21">
        <v>1011.11</v>
      </c>
    </row>
    <row r="22" spans="1:7" x14ac:dyDescent="0.2">
      <c r="A22">
        <v>1972</v>
      </c>
      <c r="B22">
        <v>810.98</v>
      </c>
      <c r="C22" s="1">
        <f t="shared" si="0"/>
        <v>735.98599999999999</v>
      </c>
      <c r="F22">
        <v>1972</v>
      </c>
      <c r="G22">
        <v>735.98599999999999</v>
      </c>
    </row>
    <row r="23" spans="1:7" x14ac:dyDescent="0.2">
      <c r="A23">
        <v>1973</v>
      </c>
      <c r="B23" s="1">
        <v>1049.1199999999999</v>
      </c>
      <c r="C23" s="1">
        <f t="shared" si="0"/>
        <v>846.67599999999982</v>
      </c>
      <c r="F23">
        <v>1973</v>
      </c>
      <c r="G23">
        <v>846.67599999999982</v>
      </c>
    </row>
    <row r="24" spans="1:7" x14ac:dyDescent="0.2">
      <c r="A24">
        <v>1974</v>
      </c>
      <c r="B24" s="1">
        <v>1724.51</v>
      </c>
      <c r="C24" s="1">
        <f t="shared" si="0"/>
        <v>952.36</v>
      </c>
      <c r="F24">
        <v>1974</v>
      </c>
      <c r="G24">
        <v>952.36</v>
      </c>
    </row>
    <row r="25" spans="1:7" x14ac:dyDescent="0.2">
      <c r="A25">
        <v>1975</v>
      </c>
      <c r="B25" s="1">
        <v>1768.73</v>
      </c>
      <c r="C25" s="1">
        <f t="shared" si="0"/>
        <v>1168.08</v>
      </c>
      <c r="F25">
        <v>1975</v>
      </c>
      <c r="G25">
        <v>1168.08</v>
      </c>
    </row>
    <row r="26" spans="1:7" x14ac:dyDescent="0.2">
      <c r="A26">
        <v>1976</v>
      </c>
      <c r="B26" s="1">
        <v>3215.53</v>
      </c>
      <c r="C26" s="1">
        <f t="shared" si="0"/>
        <v>1713.7740000000001</v>
      </c>
      <c r="F26">
        <v>1976</v>
      </c>
      <c r="G26">
        <v>1713.7740000000001</v>
      </c>
    </row>
    <row r="27" spans="1:7" x14ac:dyDescent="0.2">
      <c r="A27">
        <v>1977</v>
      </c>
      <c r="B27">
        <v>774.92</v>
      </c>
      <c r="C27" s="1">
        <f t="shared" si="0"/>
        <v>1706.5620000000004</v>
      </c>
      <c r="F27">
        <v>1977</v>
      </c>
      <c r="G27">
        <v>1706.5620000000004</v>
      </c>
    </row>
    <row r="28" spans="1:7" x14ac:dyDescent="0.2">
      <c r="A28">
        <v>1978</v>
      </c>
      <c r="B28">
        <v>831.32</v>
      </c>
      <c r="C28" s="1">
        <f t="shared" si="0"/>
        <v>1663.002</v>
      </c>
      <c r="F28">
        <v>1978</v>
      </c>
      <c r="G28">
        <v>1663.002</v>
      </c>
    </row>
    <row r="29" spans="1:7" x14ac:dyDescent="0.2">
      <c r="A29">
        <v>1979</v>
      </c>
      <c r="B29" s="1">
        <v>1039.6400000000001</v>
      </c>
      <c r="C29" s="1">
        <f t="shared" si="0"/>
        <v>1526.028</v>
      </c>
      <c r="F29">
        <v>1979</v>
      </c>
      <c r="G29">
        <v>1526.028</v>
      </c>
    </row>
    <row r="30" spans="1:7" x14ac:dyDescent="0.2">
      <c r="A30">
        <v>1980</v>
      </c>
      <c r="B30">
        <v>674.11</v>
      </c>
      <c r="C30" s="1">
        <f t="shared" si="0"/>
        <v>1307.104</v>
      </c>
      <c r="F30">
        <v>1980</v>
      </c>
      <c r="G30">
        <v>1307.104</v>
      </c>
    </row>
    <row r="31" spans="1:7" x14ac:dyDescent="0.2">
      <c r="A31">
        <v>1981</v>
      </c>
      <c r="B31">
        <v>664.49</v>
      </c>
      <c r="C31" s="1">
        <f t="shared" si="0"/>
        <v>796.89600000000007</v>
      </c>
      <c r="F31">
        <v>1981</v>
      </c>
      <c r="G31">
        <v>796.89600000000007</v>
      </c>
    </row>
    <row r="32" spans="1:7" x14ac:dyDescent="0.2">
      <c r="A32">
        <v>1982</v>
      </c>
      <c r="B32">
        <v>652.83000000000004</v>
      </c>
      <c r="C32" s="1">
        <f t="shared" si="0"/>
        <v>772.47800000000007</v>
      </c>
      <c r="F32">
        <v>1982</v>
      </c>
      <c r="G32">
        <v>772.47800000000007</v>
      </c>
    </row>
    <row r="33" spans="1:7" x14ac:dyDescent="0.2">
      <c r="A33">
        <v>1983</v>
      </c>
      <c r="B33">
        <v>336.3</v>
      </c>
      <c r="C33" s="1">
        <f t="shared" si="0"/>
        <v>673.47399999999993</v>
      </c>
      <c r="F33">
        <v>1983</v>
      </c>
      <c r="G33">
        <v>673.47399999999993</v>
      </c>
    </row>
    <row r="34" spans="1:7" x14ac:dyDescent="0.2">
      <c r="A34">
        <v>1984</v>
      </c>
      <c r="B34">
        <v>353.21</v>
      </c>
      <c r="C34" s="1">
        <f t="shared" si="0"/>
        <v>536.18799999999999</v>
      </c>
      <c r="F34">
        <v>1984</v>
      </c>
      <c r="G34">
        <v>536.18799999999999</v>
      </c>
    </row>
    <row r="35" spans="1:7" x14ac:dyDescent="0.2">
      <c r="A35">
        <v>1985</v>
      </c>
      <c r="B35">
        <v>813.39</v>
      </c>
      <c r="C35" s="1">
        <f t="shared" si="0"/>
        <v>564.0440000000001</v>
      </c>
      <c r="F35">
        <v>1985</v>
      </c>
      <c r="G35">
        <v>564.0440000000001</v>
      </c>
    </row>
    <row r="36" spans="1:7" x14ac:dyDescent="0.2">
      <c r="A36">
        <v>1986</v>
      </c>
      <c r="B36">
        <v>435.44</v>
      </c>
      <c r="C36" s="1">
        <f t="shared" si="0"/>
        <v>518.23400000000004</v>
      </c>
      <c r="F36">
        <v>1986</v>
      </c>
      <c r="G36">
        <v>518.23400000000004</v>
      </c>
    </row>
    <row r="37" spans="1:7" x14ac:dyDescent="0.2">
      <c r="A37">
        <v>1987</v>
      </c>
      <c r="B37">
        <v>431.66</v>
      </c>
      <c r="C37" s="1">
        <f t="shared" si="0"/>
        <v>474</v>
      </c>
      <c r="F37">
        <v>1987</v>
      </c>
      <c r="G37">
        <v>474</v>
      </c>
    </row>
    <row r="38" spans="1:7" x14ac:dyDescent="0.2">
      <c r="A38">
        <v>1988</v>
      </c>
      <c r="B38">
        <v>645.4</v>
      </c>
      <c r="C38" s="1">
        <f t="shared" si="0"/>
        <v>535.81999999999994</v>
      </c>
      <c r="F38">
        <v>1988</v>
      </c>
      <c r="G38">
        <v>535.81999999999994</v>
      </c>
    </row>
    <row r="39" spans="1:7" x14ac:dyDescent="0.2">
      <c r="A39">
        <v>1989</v>
      </c>
      <c r="B39">
        <v>681.27</v>
      </c>
      <c r="C39" s="1">
        <f t="shared" si="0"/>
        <v>601.43200000000002</v>
      </c>
      <c r="F39">
        <v>1989</v>
      </c>
      <c r="G39">
        <v>601.43200000000002</v>
      </c>
    </row>
    <row r="40" spans="1:7" x14ac:dyDescent="0.2">
      <c r="A40">
        <v>1990</v>
      </c>
      <c r="B40">
        <v>533.11</v>
      </c>
      <c r="C40" s="1">
        <f t="shared" si="0"/>
        <v>545.37599999999998</v>
      </c>
      <c r="F40">
        <v>1990</v>
      </c>
      <c r="G40">
        <v>545.37599999999998</v>
      </c>
    </row>
    <row r="41" spans="1:7" x14ac:dyDescent="0.2">
      <c r="A41">
        <v>1991</v>
      </c>
      <c r="B41" s="1">
        <v>1216.1099999999999</v>
      </c>
      <c r="C41" s="1">
        <f t="shared" si="0"/>
        <v>701.51</v>
      </c>
      <c r="F41">
        <v>1991</v>
      </c>
      <c r="G41">
        <v>701.51</v>
      </c>
    </row>
    <row r="42" spans="1:7" x14ac:dyDescent="0.2">
      <c r="A42">
        <v>1992</v>
      </c>
      <c r="B42">
        <v>661.47</v>
      </c>
      <c r="C42" s="1">
        <f t="shared" si="0"/>
        <v>747.47200000000009</v>
      </c>
      <c r="F42">
        <v>1992</v>
      </c>
      <c r="G42">
        <v>747.47200000000009</v>
      </c>
    </row>
    <row r="43" spans="1:7" x14ac:dyDescent="0.2">
      <c r="A43">
        <v>1993</v>
      </c>
      <c r="B43" s="1">
        <v>1631.86</v>
      </c>
      <c r="C43" s="1">
        <f t="shared" si="0"/>
        <v>944.7639999999999</v>
      </c>
      <c r="F43">
        <v>1993</v>
      </c>
      <c r="G43">
        <v>944.7639999999999</v>
      </c>
    </row>
    <row r="44" spans="1:7" x14ac:dyDescent="0.2">
      <c r="A44">
        <v>1994</v>
      </c>
      <c r="B44" s="1">
        <v>1332.38</v>
      </c>
      <c r="C44" s="1">
        <f t="shared" si="0"/>
        <v>1074.9859999999999</v>
      </c>
      <c r="F44">
        <v>1994</v>
      </c>
      <c r="G44">
        <v>1074.9859999999999</v>
      </c>
    </row>
    <row r="45" spans="1:7" x14ac:dyDescent="0.2">
      <c r="A45">
        <v>1995</v>
      </c>
      <c r="B45" s="1">
        <v>1013.56</v>
      </c>
      <c r="C45" s="1">
        <f t="shared" si="0"/>
        <v>1171.0759999999998</v>
      </c>
      <c r="F45">
        <v>1995</v>
      </c>
      <c r="G45">
        <v>1171.0759999999998</v>
      </c>
    </row>
    <row r="46" spans="1:7" x14ac:dyDescent="0.2">
      <c r="A46">
        <v>1996</v>
      </c>
      <c r="B46" s="1">
        <v>1508.45</v>
      </c>
      <c r="C46" s="1">
        <f t="shared" si="0"/>
        <v>1229.5440000000001</v>
      </c>
      <c r="F46">
        <v>1996</v>
      </c>
      <c r="G46">
        <v>1229.5440000000001</v>
      </c>
    </row>
    <row r="47" spans="1:7" x14ac:dyDescent="0.2">
      <c r="A47">
        <v>1997</v>
      </c>
      <c r="B47" s="1">
        <v>1493.45</v>
      </c>
      <c r="C47" s="1">
        <f t="shared" si="0"/>
        <v>1395.94</v>
      </c>
      <c r="F47">
        <v>1997</v>
      </c>
      <c r="G47">
        <v>1395.94</v>
      </c>
    </row>
    <row r="48" spans="1:7" x14ac:dyDescent="0.2">
      <c r="A48">
        <v>1998</v>
      </c>
      <c r="B48" s="1">
        <v>2000.14</v>
      </c>
      <c r="C48" s="1">
        <f t="shared" si="0"/>
        <v>1469.596</v>
      </c>
      <c r="F48">
        <v>1998</v>
      </c>
      <c r="G48">
        <v>1469.596</v>
      </c>
    </row>
    <row r="49" spans="1:7" x14ac:dyDescent="0.2">
      <c r="A49">
        <v>1999</v>
      </c>
      <c r="B49" s="1">
        <v>1487.2</v>
      </c>
      <c r="C49" s="1">
        <f t="shared" si="0"/>
        <v>1500.56</v>
      </c>
      <c r="F49">
        <v>1999</v>
      </c>
      <c r="G49">
        <v>1500.56</v>
      </c>
    </row>
    <row r="50" spans="1:7" x14ac:dyDescent="0.2">
      <c r="A50">
        <v>2000</v>
      </c>
      <c r="B50" s="1">
        <v>1417.72</v>
      </c>
      <c r="C50" s="1">
        <f t="shared" si="0"/>
        <v>1581.3920000000001</v>
      </c>
      <c r="F50">
        <v>2000</v>
      </c>
      <c r="G50">
        <v>1581.3920000000001</v>
      </c>
    </row>
    <row r="51" spans="1:7" x14ac:dyDescent="0.2">
      <c r="A51">
        <v>2001</v>
      </c>
      <c r="B51" s="1">
        <v>1709.26</v>
      </c>
      <c r="C51" s="1">
        <f t="shared" si="0"/>
        <v>1621.5540000000001</v>
      </c>
      <c r="F51">
        <v>2001</v>
      </c>
      <c r="G51">
        <v>1621.5540000000001</v>
      </c>
    </row>
    <row r="52" spans="1:7" x14ac:dyDescent="0.2">
      <c r="A52">
        <v>2002</v>
      </c>
      <c r="B52" s="1">
        <v>1701.12</v>
      </c>
      <c r="C52" s="1">
        <f t="shared" si="0"/>
        <v>1663.0880000000002</v>
      </c>
      <c r="F52">
        <v>2002</v>
      </c>
      <c r="G52">
        <v>1663.0880000000002</v>
      </c>
    </row>
    <row r="53" spans="1:7" x14ac:dyDescent="0.2">
      <c r="A53">
        <v>2003</v>
      </c>
      <c r="B53" s="1">
        <v>1636.21</v>
      </c>
      <c r="C53" s="1">
        <f t="shared" si="0"/>
        <v>1590.3020000000001</v>
      </c>
      <c r="F53">
        <v>2003</v>
      </c>
      <c r="G53">
        <v>1590.3020000000001</v>
      </c>
    </row>
    <row r="54" spans="1:7" x14ac:dyDescent="0.2">
      <c r="A54">
        <v>2004</v>
      </c>
      <c r="B54" s="1">
        <v>1635.07</v>
      </c>
      <c r="C54" s="1">
        <f t="shared" si="0"/>
        <v>1619.876</v>
      </c>
      <c r="F54">
        <v>2004</v>
      </c>
      <c r="G54">
        <v>1619.876</v>
      </c>
    </row>
    <row r="55" spans="1:7" x14ac:dyDescent="0.2">
      <c r="A55">
        <v>2005</v>
      </c>
      <c r="B55" s="1">
        <v>1407.43</v>
      </c>
      <c r="C55" s="1">
        <f t="shared" si="0"/>
        <v>1617.818</v>
      </c>
      <c r="F55">
        <v>2005</v>
      </c>
      <c r="G55">
        <v>1617.818</v>
      </c>
    </row>
    <row r="56" spans="1:7" x14ac:dyDescent="0.2">
      <c r="A56">
        <v>2006</v>
      </c>
      <c r="B56" s="1">
        <v>1826.19</v>
      </c>
      <c r="C56" s="1">
        <f t="shared" si="0"/>
        <v>1641.2040000000002</v>
      </c>
      <c r="F56">
        <v>2006</v>
      </c>
      <c r="G56">
        <v>1641.2040000000002</v>
      </c>
    </row>
    <row r="57" spans="1:7" x14ac:dyDescent="0.2">
      <c r="A57">
        <v>2007</v>
      </c>
      <c r="B57" s="1">
        <v>1345.34</v>
      </c>
      <c r="C57" s="1">
        <f t="shared" si="0"/>
        <v>1570.048</v>
      </c>
      <c r="F57">
        <v>2007</v>
      </c>
      <c r="G57">
        <v>1570.048</v>
      </c>
    </row>
    <row r="58" spans="1:7" x14ac:dyDescent="0.2">
      <c r="A58">
        <v>2008</v>
      </c>
      <c r="B58" s="1">
        <v>1467.39</v>
      </c>
      <c r="C58" s="1">
        <f t="shared" si="0"/>
        <v>1536.2840000000001</v>
      </c>
      <c r="F58">
        <v>2008</v>
      </c>
      <c r="G58">
        <v>1536.2840000000001</v>
      </c>
    </row>
    <row r="59" spans="1:7" x14ac:dyDescent="0.2">
      <c r="A59">
        <v>2009</v>
      </c>
      <c r="B59" s="1">
        <v>1792.72</v>
      </c>
      <c r="C59" s="1">
        <f t="shared" si="0"/>
        <v>1567.8140000000001</v>
      </c>
      <c r="F59">
        <v>2009</v>
      </c>
      <c r="G59">
        <v>1567.8140000000001</v>
      </c>
    </row>
    <row r="60" spans="1:7" x14ac:dyDescent="0.2">
      <c r="A60">
        <v>2010</v>
      </c>
      <c r="B60">
        <v>964.71</v>
      </c>
      <c r="C60" s="1">
        <f t="shared" si="0"/>
        <v>1479.27</v>
      </c>
      <c r="F60">
        <v>2010</v>
      </c>
      <c r="G60">
        <v>1479.27</v>
      </c>
    </row>
    <row r="61" spans="1:7" x14ac:dyDescent="0.2">
      <c r="A61">
        <v>2011</v>
      </c>
      <c r="B61">
        <v>663.39</v>
      </c>
      <c r="C61" s="1">
        <f t="shared" si="0"/>
        <v>1246.71</v>
      </c>
      <c r="F61">
        <v>2011</v>
      </c>
      <c r="G61">
        <v>1246.71</v>
      </c>
    </row>
    <row r="62" spans="1:7" x14ac:dyDescent="0.2">
      <c r="A62">
        <v>2012</v>
      </c>
      <c r="B62">
        <v>977.97</v>
      </c>
      <c r="C62" s="1">
        <f t="shared" si="0"/>
        <v>1173.2360000000001</v>
      </c>
      <c r="F62">
        <v>2012</v>
      </c>
      <c r="G62">
        <v>1173.2360000000001</v>
      </c>
    </row>
    <row r="63" spans="1:7" x14ac:dyDescent="0.2">
      <c r="A63">
        <v>2013</v>
      </c>
      <c r="B63" s="1">
        <v>2980.55</v>
      </c>
      <c r="C63" s="1">
        <f t="shared" si="0"/>
        <v>1475.8679999999999</v>
      </c>
      <c r="F63">
        <v>2013</v>
      </c>
      <c r="G63">
        <v>1475.8679999999999</v>
      </c>
    </row>
    <row r="64" spans="1:7" x14ac:dyDescent="0.2">
      <c r="A64">
        <v>2014</v>
      </c>
      <c r="B64" s="1">
        <v>1149.1400000000001</v>
      </c>
      <c r="C64" s="1">
        <f t="shared" si="0"/>
        <v>1347.152</v>
      </c>
      <c r="F64">
        <v>2014</v>
      </c>
      <c r="G64">
        <v>1347.152</v>
      </c>
    </row>
    <row r="65" spans="1:7" x14ac:dyDescent="0.2">
      <c r="A65">
        <v>2015</v>
      </c>
      <c r="B65" s="1">
        <v>1697.97</v>
      </c>
      <c r="C65" s="1">
        <f t="shared" si="0"/>
        <v>1493.8040000000001</v>
      </c>
      <c r="F65">
        <v>2015</v>
      </c>
      <c r="G65">
        <v>1493.8040000000001</v>
      </c>
    </row>
    <row r="66" spans="1:7" x14ac:dyDescent="0.2">
      <c r="A66">
        <v>2016</v>
      </c>
      <c r="B66" s="1">
        <v>1989.12</v>
      </c>
      <c r="C66" s="1">
        <f t="shared" si="0"/>
        <v>1758.95</v>
      </c>
      <c r="F66">
        <v>2016</v>
      </c>
      <c r="G66">
        <v>1758.95</v>
      </c>
    </row>
    <row r="67" spans="1:7" x14ac:dyDescent="0.2">
      <c r="A67">
        <v>2017</v>
      </c>
      <c r="B67" s="1">
        <v>1191.3499999999999</v>
      </c>
      <c r="C67" s="1">
        <f t="shared" si="0"/>
        <v>1801.6260000000002</v>
      </c>
      <c r="F67">
        <v>2017</v>
      </c>
      <c r="G67">
        <v>1801.6260000000002</v>
      </c>
    </row>
    <row r="68" spans="1:7" x14ac:dyDescent="0.2">
      <c r="A68">
        <v>2018</v>
      </c>
      <c r="B68" s="1">
        <v>1310.1099999999999</v>
      </c>
      <c r="C68" s="1">
        <f t="shared" si="0"/>
        <v>1467.538</v>
      </c>
      <c r="F68">
        <v>2018</v>
      </c>
      <c r="G68">
        <v>1467.538</v>
      </c>
    </row>
    <row r="69" spans="1:7" x14ac:dyDescent="0.2">
      <c r="A69">
        <v>2019</v>
      </c>
      <c r="B69">
        <v>855.96</v>
      </c>
      <c r="C69" s="1">
        <f t="shared" si="0"/>
        <v>1408.902</v>
      </c>
      <c r="F69">
        <v>2019</v>
      </c>
      <c r="G69">
        <v>1408.902</v>
      </c>
    </row>
    <row r="70" spans="1:7" x14ac:dyDescent="0.2">
      <c r="A70">
        <v>2020</v>
      </c>
      <c r="B70" s="1">
        <v>1144.07</v>
      </c>
      <c r="C70" s="1">
        <f t="shared" si="0"/>
        <v>1298.1219999999998</v>
      </c>
      <c r="F70">
        <v>2020</v>
      </c>
      <c r="G70">
        <v>1298.1219999999998</v>
      </c>
    </row>
    <row r="71" spans="1:7" x14ac:dyDescent="0.2">
      <c r="A71">
        <v>2021</v>
      </c>
      <c r="B71" s="1">
        <v>1365.32</v>
      </c>
      <c r="C71" s="1">
        <f t="shared" si="0"/>
        <v>1173.3619999999999</v>
      </c>
      <c r="F71">
        <v>2021</v>
      </c>
      <c r="G71">
        <v>1173.3619999999999</v>
      </c>
    </row>
    <row r="72" spans="1:7" x14ac:dyDescent="0.2">
      <c r="A72">
        <v>2022</v>
      </c>
      <c r="B72">
        <v>612.51</v>
      </c>
      <c r="C72" s="1">
        <f t="shared" si="0"/>
        <v>1057.5939999999998</v>
      </c>
      <c r="F72">
        <v>2022</v>
      </c>
      <c r="G72">
        <v>1057.5939999999998</v>
      </c>
    </row>
    <row r="73" spans="1:7" x14ac:dyDescent="0.2">
      <c r="A73" t="s">
        <v>3</v>
      </c>
      <c r="B73" s="1">
        <v>1382.48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50E36-BE4E-4C7B-8B70-40D4B68EA14E}">
  <dimension ref="A2:AA42"/>
  <sheetViews>
    <sheetView tabSelected="1" topLeftCell="F1" workbookViewId="0">
      <selection activeCell="P6" sqref="P6"/>
    </sheetView>
  </sheetViews>
  <sheetFormatPr defaultRowHeight="14.25" x14ac:dyDescent="0.2"/>
  <cols>
    <col min="9" max="9" width="24.5" bestFit="1" customWidth="1"/>
  </cols>
  <sheetData>
    <row r="2" spans="1:27" x14ac:dyDescent="0.2"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R2" s="5"/>
      <c r="S2" s="5"/>
      <c r="T2" s="5"/>
      <c r="U2" s="5"/>
      <c r="V2" s="6"/>
      <c r="W2" s="5"/>
    </row>
    <row r="3" spans="1:27" x14ac:dyDescent="0.2">
      <c r="A3" t="s">
        <v>6</v>
      </c>
      <c r="B3">
        <v>23</v>
      </c>
      <c r="C3">
        <v>189</v>
      </c>
      <c r="D3">
        <v>153</v>
      </c>
      <c r="E3">
        <v>1575</v>
      </c>
      <c r="F3">
        <v>1059</v>
      </c>
      <c r="G3">
        <v>346</v>
      </c>
      <c r="I3" t="s">
        <v>6</v>
      </c>
      <c r="J3" s="2">
        <f>B3/1063061*1000000</f>
        <v>21.635635208139515</v>
      </c>
      <c r="K3" s="2">
        <f>C3/805398*1000000</f>
        <v>234.66658720284877</v>
      </c>
      <c r="L3" s="2">
        <f>D3/2187773*1000000</f>
        <v>69.934129363512582</v>
      </c>
      <c r="M3" s="2">
        <f>E3/5358513*1000000</f>
        <v>293.92482578655682</v>
      </c>
      <c r="N3" s="2">
        <f>F3/8554401*1000000</f>
        <v>123.79592679838132</v>
      </c>
      <c r="O3" s="2">
        <f>G3/8217863*1000000</f>
        <v>42.103403281364024</v>
      </c>
      <c r="V3" s="3"/>
    </row>
    <row r="4" spans="1:27" x14ac:dyDescent="0.2">
      <c r="A4" t="s">
        <v>7</v>
      </c>
      <c r="B4">
        <v>54</v>
      </c>
      <c r="C4">
        <v>123</v>
      </c>
      <c r="D4">
        <v>86</v>
      </c>
      <c r="E4">
        <v>554</v>
      </c>
      <c r="F4">
        <v>487</v>
      </c>
      <c r="G4">
        <v>885</v>
      </c>
      <c r="I4" t="s">
        <v>7</v>
      </c>
      <c r="J4" s="2">
        <f t="shared" ref="J4:J19" si="0">B4/1063061*1000000</f>
        <v>50.796708749544948</v>
      </c>
      <c r="K4" s="2">
        <f t="shared" ref="K4:K19" si="1">C4/805398*1000000</f>
        <v>152.71952500502857</v>
      </c>
      <c r="L4" s="2">
        <f t="shared" ref="L4:L19" si="2">D4/2187773*1000000</f>
        <v>39.309379903673737</v>
      </c>
      <c r="M4" s="2">
        <f t="shared" ref="M4:M19" si="3">E4/5358513*1000000</f>
        <v>103.38689110206506</v>
      </c>
      <c r="N4" s="2">
        <f t="shared" ref="N4:N19" si="4">F4/8554401*1000000</f>
        <v>56.929760482352883</v>
      </c>
      <c r="O4" s="2">
        <f t="shared" ref="O4:O19" si="5">G4/8217863*1000000</f>
        <v>107.69223093643689</v>
      </c>
    </row>
    <row r="5" spans="1:27" x14ac:dyDescent="0.2">
      <c r="A5" t="s">
        <v>8</v>
      </c>
      <c r="B5">
        <v>0</v>
      </c>
      <c r="C5">
        <v>0</v>
      </c>
      <c r="D5">
        <v>0</v>
      </c>
      <c r="E5">
        <v>14</v>
      </c>
      <c r="F5">
        <v>248</v>
      </c>
      <c r="G5">
        <v>544</v>
      </c>
      <c r="I5" t="s">
        <v>8</v>
      </c>
      <c r="J5" s="2">
        <f t="shared" si="0"/>
        <v>0</v>
      </c>
      <c r="K5" s="2">
        <f t="shared" si="1"/>
        <v>0</v>
      </c>
      <c r="L5" s="2">
        <f t="shared" si="2"/>
        <v>0</v>
      </c>
      <c r="M5" s="2">
        <f t="shared" si="3"/>
        <v>2.6126651181027274</v>
      </c>
      <c r="N5" s="2">
        <f t="shared" si="4"/>
        <v>28.990925255900443</v>
      </c>
      <c r="O5" s="2">
        <f t="shared" si="5"/>
        <v>66.197258338329561</v>
      </c>
    </row>
    <row r="6" spans="1:27" x14ac:dyDescent="0.2">
      <c r="A6" t="s">
        <v>9</v>
      </c>
      <c r="B6">
        <v>0</v>
      </c>
      <c r="C6">
        <v>0</v>
      </c>
      <c r="D6">
        <v>5</v>
      </c>
      <c r="E6">
        <v>35</v>
      </c>
      <c r="F6">
        <v>231</v>
      </c>
      <c r="G6">
        <v>307</v>
      </c>
      <c r="I6" t="s">
        <v>9</v>
      </c>
      <c r="J6" s="2">
        <f t="shared" si="0"/>
        <v>0</v>
      </c>
      <c r="K6" s="2">
        <f t="shared" si="1"/>
        <v>0</v>
      </c>
      <c r="L6" s="2">
        <f t="shared" si="2"/>
        <v>2.285429064167078</v>
      </c>
      <c r="M6" s="2">
        <f t="shared" si="3"/>
        <v>6.5316627952568185</v>
      </c>
      <c r="N6" s="2">
        <f t="shared" si="4"/>
        <v>27.003644089165334</v>
      </c>
      <c r="O6" s="2">
        <f t="shared" si="5"/>
        <v>37.35764395196172</v>
      </c>
      <c r="AA6" s="3"/>
    </row>
    <row r="7" spans="1:27" x14ac:dyDescent="0.2">
      <c r="A7" t="s">
        <v>10</v>
      </c>
      <c r="B7">
        <v>0</v>
      </c>
      <c r="C7">
        <v>22</v>
      </c>
      <c r="D7">
        <v>11</v>
      </c>
      <c r="E7">
        <v>72</v>
      </c>
      <c r="F7">
        <v>158</v>
      </c>
      <c r="G7">
        <v>208</v>
      </c>
      <c r="I7" t="s">
        <v>10</v>
      </c>
      <c r="J7" s="2">
        <f t="shared" si="0"/>
        <v>0</v>
      </c>
      <c r="K7" s="2">
        <f t="shared" si="1"/>
        <v>27.315687399273404</v>
      </c>
      <c r="L7" s="2">
        <f t="shared" si="2"/>
        <v>5.027943941167571</v>
      </c>
      <c r="M7" s="2">
        <f t="shared" si="3"/>
        <v>13.436563464528312</v>
      </c>
      <c r="N7" s="2">
        <f t="shared" si="4"/>
        <v>18.470024961420442</v>
      </c>
      <c r="O7" s="2">
        <f t="shared" si="5"/>
        <v>25.310716423478951</v>
      </c>
    </row>
    <row r="8" spans="1:27" x14ac:dyDescent="0.2">
      <c r="A8" t="s">
        <v>11</v>
      </c>
      <c r="B8">
        <v>23</v>
      </c>
      <c r="C8">
        <v>13</v>
      </c>
      <c r="D8">
        <v>15</v>
      </c>
      <c r="E8">
        <v>81</v>
      </c>
      <c r="F8">
        <v>102</v>
      </c>
      <c r="G8">
        <v>160</v>
      </c>
      <c r="I8" t="s">
        <v>11</v>
      </c>
      <c r="J8" s="2">
        <f t="shared" si="0"/>
        <v>21.635635208139515</v>
      </c>
      <c r="K8" s="2">
        <f t="shared" si="1"/>
        <v>16.141088008661555</v>
      </c>
      <c r="L8" s="2">
        <f t="shared" si="2"/>
        <v>6.8562871925012328</v>
      </c>
      <c r="M8" s="2">
        <f t="shared" si="3"/>
        <v>15.11613389759435</v>
      </c>
      <c r="N8" s="2">
        <f t="shared" si="4"/>
        <v>11.923687000410666</v>
      </c>
      <c r="O8" s="2">
        <f t="shared" si="5"/>
        <v>19.469781864214575</v>
      </c>
    </row>
    <row r="9" spans="1:27" x14ac:dyDescent="0.2">
      <c r="A9" t="s">
        <v>12</v>
      </c>
      <c r="B9">
        <v>0</v>
      </c>
      <c r="C9">
        <v>0</v>
      </c>
      <c r="D9">
        <v>36</v>
      </c>
      <c r="E9">
        <v>60</v>
      </c>
      <c r="F9">
        <v>63</v>
      </c>
      <c r="G9">
        <v>71</v>
      </c>
      <c r="I9" t="s">
        <v>12</v>
      </c>
      <c r="J9" s="2">
        <f t="shared" si="0"/>
        <v>0</v>
      </c>
      <c r="K9" s="2">
        <f t="shared" si="1"/>
        <v>0</v>
      </c>
      <c r="L9" s="2">
        <f t="shared" si="2"/>
        <v>16.455089262002957</v>
      </c>
      <c r="M9" s="2">
        <f t="shared" si="3"/>
        <v>11.19713622044026</v>
      </c>
      <c r="N9" s="2">
        <f t="shared" si="4"/>
        <v>7.3646302061359998</v>
      </c>
      <c r="O9" s="2">
        <f t="shared" si="5"/>
        <v>8.6397157022452191</v>
      </c>
    </row>
    <row r="10" spans="1:27" x14ac:dyDescent="0.2">
      <c r="A10" t="s">
        <v>13</v>
      </c>
      <c r="B10">
        <v>13</v>
      </c>
      <c r="C10">
        <v>7</v>
      </c>
      <c r="D10">
        <v>9</v>
      </c>
      <c r="E10">
        <v>64</v>
      </c>
      <c r="F10">
        <v>54</v>
      </c>
      <c r="G10">
        <v>44</v>
      </c>
      <c r="I10" t="s">
        <v>13</v>
      </c>
      <c r="J10" s="2">
        <f t="shared" si="0"/>
        <v>12.228837291557117</v>
      </c>
      <c r="K10" s="2">
        <f t="shared" si="1"/>
        <v>8.6913550815869929</v>
      </c>
      <c r="L10" s="2">
        <f t="shared" si="2"/>
        <v>4.1137723155007393</v>
      </c>
      <c r="M10" s="2">
        <f t="shared" si="3"/>
        <v>11.943611968469611</v>
      </c>
      <c r="N10" s="2">
        <f t="shared" si="4"/>
        <v>6.3125401766879996</v>
      </c>
      <c r="O10" s="2">
        <f t="shared" si="5"/>
        <v>5.354190012659009</v>
      </c>
    </row>
    <row r="11" spans="1:27" x14ac:dyDescent="0.2">
      <c r="A11" t="s">
        <v>14</v>
      </c>
      <c r="B11">
        <v>0</v>
      </c>
      <c r="C11">
        <v>0</v>
      </c>
      <c r="D11">
        <v>0</v>
      </c>
      <c r="E11">
        <v>53</v>
      </c>
      <c r="F11">
        <v>48</v>
      </c>
      <c r="G11">
        <v>333</v>
      </c>
      <c r="I11" t="s">
        <v>14</v>
      </c>
      <c r="J11" s="2">
        <f t="shared" si="0"/>
        <v>0</v>
      </c>
      <c r="K11" s="2">
        <f t="shared" si="1"/>
        <v>0</v>
      </c>
      <c r="L11" s="2">
        <f t="shared" si="2"/>
        <v>0</v>
      </c>
      <c r="M11" s="2">
        <f t="shared" si="3"/>
        <v>9.8908036613888974</v>
      </c>
      <c r="N11" s="2">
        <f t="shared" si="4"/>
        <v>5.6111468237226658</v>
      </c>
      <c r="O11" s="2">
        <f t="shared" si="5"/>
        <v>40.521483504896587</v>
      </c>
    </row>
    <row r="12" spans="1:27" x14ac:dyDescent="0.2">
      <c r="A12" t="s">
        <v>24</v>
      </c>
      <c r="B12">
        <v>14</v>
      </c>
      <c r="C12">
        <v>0</v>
      </c>
      <c r="D12">
        <v>0</v>
      </c>
      <c r="E12">
        <v>17</v>
      </c>
      <c r="F12">
        <v>27</v>
      </c>
      <c r="G12">
        <v>31</v>
      </c>
      <c r="I12" t="s">
        <v>27</v>
      </c>
      <c r="J12" s="2">
        <f t="shared" si="0"/>
        <v>13.169517083215355</v>
      </c>
      <c r="K12" s="2">
        <f t="shared" si="1"/>
        <v>0</v>
      </c>
      <c r="L12" s="2">
        <f t="shared" si="2"/>
        <v>0</v>
      </c>
      <c r="M12" s="2">
        <f t="shared" si="3"/>
        <v>3.1725219291247404</v>
      </c>
      <c r="N12" s="2">
        <f t="shared" si="4"/>
        <v>3.1562700883439998</v>
      </c>
      <c r="O12" s="2">
        <f t="shared" si="5"/>
        <v>3.7722702361915741</v>
      </c>
    </row>
    <row r="13" spans="1:27" x14ac:dyDescent="0.2">
      <c r="A13" t="s">
        <v>15</v>
      </c>
      <c r="B13">
        <v>7</v>
      </c>
      <c r="C13">
        <v>0</v>
      </c>
      <c r="D13">
        <v>17</v>
      </c>
      <c r="E13">
        <v>13</v>
      </c>
      <c r="F13">
        <v>14</v>
      </c>
      <c r="G13">
        <v>21</v>
      </c>
      <c r="I13" t="s">
        <v>15</v>
      </c>
      <c r="J13" s="2">
        <f t="shared" si="0"/>
        <v>6.5847585416076777</v>
      </c>
      <c r="K13" s="2">
        <f t="shared" si="1"/>
        <v>0</v>
      </c>
      <c r="L13" s="2">
        <f t="shared" si="2"/>
        <v>7.7704588181680645</v>
      </c>
      <c r="M13" s="2">
        <f t="shared" si="3"/>
        <v>2.4260461810953897</v>
      </c>
      <c r="N13" s="2">
        <f t="shared" si="4"/>
        <v>1.6365844902524445</v>
      </c>
      <c r="O13" s="2">
        <f t="shared" si="5"/>
        <v>2.5554088696781636</v>
      </c>
    </row>
    <row r="14" spans="1:27" x14ac:dyDescent="0.2">
      <c r="A14" t="s">
        <v>16</v>
      </c>
      <c r="B14">
        <v>0</v>
      </c>
      <c r="C14">
        <v>0</v>
      </c>
      <c r="D14">
        <v>0</v>
      </c>
      <c r="E14">
        <v>14</v>
      </c>
      <c r="F14">
        <v>37</v>
      </c>
      <c r="G14">
        <v>18</v>
      </c>
      <c r="I14" t="s">
        <v>16</v>
      </c>
      <c r="J14" s="2">
        <f t="shared" si="0"/>
        <v>0</v>
      </c>
      <c r="K14" s="2">
        <f t="shared" si="1"/>
        <v>0</v>
      </c>
      <c r="L14" s="2">
        <f t="shared" si="2"/>
        <v>0</v>
      </c>
      <c r="M14" s="2">
        <f t="shared" si="3"/>
        <v>2.6126651181027274</v>
      </c>
      <c r="N14" s="2">
        <f t="shared" si="4"/>
        <v>4.3252590099528891</v>
      </c>
      <c r="O14" s="2">
        <f t="shared" si="5"/>
        <v>2.1903504597241401</v>
      </c>
    </row>
    <row r="15" spans="1:27" x14ac:dyDescent="0.2">
      <c r="A15" t="s">
        <v>23</v>
      </c>
      <c r="B15">
        <v>25</v>
      </c>
      <c r="C15">
        <v>16</v>
      </c>
      <c r="D15">
        <v>47</v>
      </c>
      <c r="E15">
        <v>181</v>
      </c>
      <c r="F15">
        <v>295</v>
      </c>
      <c r="G15">
        <v>333</v>
      </c>
      <c r="I15" t="s">
        <v>23</v>
      </c>
      <c r="J15" s="2">
        <f t="shared" si="0"/>
        <v>23.516994791455993</v>
      </c>
      <c r="K15" s="2">
        <f t="shared" si="1"/>
        <v>19.865954472198837</v>
      </c>
      <c r="L15" s="2">
        <f t="shared" si="2"/>
        <v>21.483033203170528</v>
      </c>
      <c r="M15" s="2">
        <f t="shared" si="3"/>
        <v>33.778027598328116</v>
      </c>
      <c r="N15" s="2">
        <f t="shared" si="4"/>
        <v>34.485173187462223</v>
      </c>
      <c r="O15" s="2">
        <f t="shared" si="5"/>
        <v>40.521483504896587</v>
      </c>
    </row>
    <row r="16" spans="1:27" x14ac:dyDescent="0.2">
      <c r="A16" t="s">
        <v>25</v>
      </c>
      <c r="B16">
        <v>16</v>
      </c>
      <c r="C16">
        <v>11</v>
      </c>
      <c r="D16">
        <v>0</v>
      </c>
      <c r="E16">
        <v>16</v>
      </c>
      <c r="F16">
        <v>20</v>
      </c>
      <c r="G16">
        <v>22</v>
      </c>
      <c r="I16" t="s">
        <v>25</v>
      </c>
      <c r="J16" s="2">
        <f t="shared" si="0"/>
        <v>15.050876666531835</v>
      </c>
      <c r="K16" s="2">
        <f t="shared" si="1"/>
        <v>13.657843699636702</v>
      </c>
      <c r="L16" s="2">
        <f t="shared" si="2"/>
        <v>0</v>
      </c>
      <c r="M16" s="2">
        <f t="shared" si="3"/>
        <v>2.9859029921174027</v>
      </c>
      <c r="N16" s="2">
        <f t="shared" si="4"/>
        <v>2.3379778432177778</v>
      </c>
      <c r="O16" s="2">
        <f t="shared" si="5"/>
        <v>2.6770950063295045</v>
      </c>
    </row>
    <row r="17" spans="1:15" x14ac:dyDescent="0.2">
      <c r="A17" t="s">
        <v>26</v>
      </c>
      <c r="B17">
        <v>14</v>
      </c>
      <c r="C17">
        <v>0</v>
      </c>
      <c r="D17">
        <v>5</v>
      </c>
      <c r="E17">
        <v>0</v>
      </c>
      <c r="F17">
        <v>18</v>
      </c>
      <c r="G17">
        <v>14</v>
      </c>
      <c r="I17" t="s">
        <v>26</v>
      </c>
      <c r="J17" s="2">
        <f t="shared" si="0"/>
        <v>13.169517083215355</v>
      </c>
      <c r="K17" s="2">
        <f t="shared" si="1"/>
        <v>0</v>
      </c>
      <c r="L17" s="2">
        <f t="shared" si="2"/>
        <v>2.285429064167078</v>
      </c>
      <c r="M17" s="2">
        <f t="shared" si="3"/>
        <v>0</v>
      </c>
      <c r="N17" s="2">
        <f t="shared" si="4"/>
        <v>2.104180058896</v>
      </c>
      <c r="O17" s="2">
        <f t="shared" si="5"/>
        <v>1.7036059131187755</v>
      </c>
    </row>
    <row r="18" spans="1:15" x14ac:dyDescent="0.2">
      <c r="A18" t="s">
        <v>28</v>
      </c>
      <c r="B18">
        <v>53</v>
      </c>
      <c r="C18">
        <v>11</v>
      </c>
      <c r="D18">
        <v>68</v>
      </c>
      <c r="E18">
        <v>40</v>
      </c>
      <c r="F18">
        <v>42</v>
      </c>
      <c r="G18">
        <v>79</v>
      </c>
      <c r="I18" t="s">
        <v>28</v>
      </c>
      <c r="J18" s="2">
        <f t="shared" si="0"/>
        <v>49.856028957886707</v>
      </c>
      <c r="K18" s="2">
        <f t="shared" si="1"/>
        <v>13.657843699636702</v>
      </c>
      <c r="L18" s="2">
        <f t="shared" si="2"/>
        <v>31.081835272672258</v>
      </c>
      <c r="M18" s="2">
        <f t="shared" si="3"/>
        <v>7.4647574802935068</v>
      </c>
      <c r="N18" s="2">
        <f t="shared" si="4"/>
        <v>4.9097534707573329</v>
      </c>
      <c r="O18" s="2">
        <f t="shared" si="5"/>
        <v>9.6132047954559479</v>
      </c>
    </row>
    <row r="19" spans="1:15" x14ac:dyDescent="0.2">
      <c r="A19" t="s">
        <v>33</v>
      </c>
      <c r="B19">
        <v>15</v>
      </c>
      <c r="C19">
        <v>23</v>
      </c>
      <c r="D19">
        <v>52</v>
      </c>
      <c r="E19">
        <v>42</v>
      </c>
      <c r="F19">
        <v>148</v>
      </c>
      <c r="G19">
        <v>142</v>
      </c>
      <c r="I19" t="s">
        <v>33</v>
      </c>
      <c r="J19" s="2">
        <f t="shared" si="0"/>
        <v>14.110196874873596</v>
      </c>
      <c r="K19" s="2">
        <f t="shared" si="1"/>
        <v>28.557309553785831</v>
      </c>
      <c r="L19" s="2">
        <f t="shared" si="2"/>
        <v>23.768462267337608</v>
      </c>
      <c r="M19" s="2">
        <f t="shared" si="3"/>
        <v>7.8379953543081831</v>
      </c>
      <c r="N19" s="2">
        <f t="shared" si="4"/>
        <v>17.301036039811557</v>
      </c>
      <c r="O19" s="2">
        <f t="shared" si="5"/>
        <v>17.279431404490438</v>
      </c>
    </row>
    <row r="23" spans="1:15" x14ac:dyDescent="0.2">
      <c r="J23" t="s">
        <v>17</v>
      </c>
      <c r="K23" t="s">
        <v>18</v>
      </c>
      <c r="L23" t="s">
        <v>19</v>
      </c>
      <c r="M23" t="s">
        <v>20</v>
      </c>
      <c r="N23" t="s">
        <v>21</v>
      </c>
      <c r="O23" t="s">
        <v>22</v>
      </c>
    </row>
    <row r="24" spans="1:15" x14ac:dyDescent="0.2">
      <c r="I24" t="s">
        <v>29</v>
      </c>
      <c r="J24" s="2">
        <v>21.635635208139515</v>
      </c>
      <c r="K24" s="2">
        <v>234.66658720284877</v>
      </c>
      <c r="L24" s="2">
        <v>69.934129363512582</v>
      </c>
      <c r="M24" s="2">
        <v>293.92482578655682</v>
      </c>
      <c r="N24" s="2">
        <v>123.79592679838132</v>
      </c>
      <c r="O24" s="2">
        <v>42.103403281364024</v>
      </c>
    </row>
    <row r="25" spans="1:15" x14ac:dyDescent="0.2">
      <c r="I25" t="s">
        <v>30</v>
      </c>
      <c r="J25" s="2">
        <v>50.796708749544948</v>
      </c>
      <c r="K25" s="2">
        <v>152.71952500502857</v>
      </c>
      <c r="L25" s="2">
        <v>39.309379903673737</v>
      </c>
      <c r="M25" s="2">
        <v>103.38689110206506</v>
      </c>
      <c r="N25" s="2">
        <v>56.929760482352883</v>
      </c>
      <c r="O25" s="2">
        <v>107.69223093643689</v>
      </c>
    </row>
    <row r="26" spans="1:15" x14ac:dyDescent="0.2">
      <c r="I26" t="s">
        <v>31</v>
      </c>
      <c r="J26" s="2">
        <v>0</v>
      </c>
      <c r="K26" s="2">
        <v>0</v>
      </c>
      <c r="L26" s="2">
        <v>0</v>
      </c>
      <c r="M26" s="2">
        <v>2.6126651181027274</v>
      </c>
      <c r="N26" s="2">
        <v>28.990925255900443</v>
      </c>
      <c r="O26" s="2">
        <v>66.197258338329561</v>
      </c>
    </row>
    <row r="27" spans="1:15" x14ac:dyDescent="0.2">
      <c r="I27" t="s">
        <v>32</v>
      </c>
      <c r="J27" s="2">
        <v>0</v>
      </c>
      <c r="K27" s="2">
        <v>0</v>
      </c>
      <c r="L27" s="2">
        <v>2.285429064167078</v>
      </c>
      <c r="M27" s="2">
        <v>6.5316627952568185</v>
      </c>
      <c r="N27" s="2">
        <v>27.003644089165334</v>
      </c>
      <c r="O27" s="2">
        <v>37.35764395196172</v>
      </c>
    </row>
    <row r="28" spans="1:15" x14ac:dyDescent="0.2">
      <c r="J28" s="2"/>
      <c r="K28" s="2"/>
      <c r="L28" s="2"/>
      <c r="M28" s="2"/>
      <c r="N28" s="2"/>
      <c r="O28" s="2"/>
    </row>
    <row r="33" spans="9:15" x14ac:dyDescent="0.2">
      <c r="J33" t="s">
        <v>17</v>
      </c>
      <c r="K33" t="s">
        <v>18</v>
      </c>
      <c r="L33" t="s">
        <v>19</v>
      </c>
      <c r="M33" t="s">
        <v>20</v>
      </c>
      <c r="N33" t="s">
        <v>21</v>
      </c>
      <c r="O33" t="s">
        <v>22</v>
      </c>
    </row>
    <row r="34" spans="9:15" x14ac:dyDescent="0.2">
      <c r="I34" t="s">
        <v>29</v>
      </c>
      <c r="K34" s="4">
        <f>(K24-J24)/J24</f>
        <v>9.8462998634107652</v>
      </c>
      <c r="L34" s="4">
        <f>(L24-K24)/K24</f>
        <v>-0.70198514327452743</v>
      </c>
      <c r="M34" s="4">
        <f t="shared" ref="M34:O34" si="6">(M24-L24)/L24</f>
        <v>3.2028810319315868</v>
      </c>
      <c r="N34" s="4">
        <f t="shared" si="6"/>
        <v>-0.57881772501830175</v>
      </c>
      <c r="O34" s="4">
        <f t="shared" si="6"/>
        <v>-0.65989669959064801</v>
      </c>
    </row>
    <row r="35" spans="9:15" x14ac:dyDescent="0.2">
      <c r="I35" t="s">
        <v>30</v>
      </c>
      <c r="J35" s="2"/>
      <c r="K35" s="4">
        <f t="shared" ref="K35:O38" si="7">(K25-J25)/J25</f>
        <v>2.0064846476179756</v>
      </c>
      <c r="L35" s="4">
        <f t="shared" si="7"/>
        <v>-0.74260409792147131</v>
      </c>
      <c r="M35" s="4">
        <f t="shared" si="7"/>
        <v>1.6300819640353279</v>
      </c>
      <c r="N35" s="4">
        <f t="shared" si="7"/>
        <v>-0.44935223532206819</v>
      </c>
      <c r="O35" s="4">
        <f t="shared" si="7"/>
        <v>0.89166843534884321</v>
      </c>
    </row>
    <row r="36" spans="9:15" x14ac:dyDescent="0.2">
      <c r="I36" t="s">
        <v>31</v>
      </c>
      <c r="J36" s="2"/>
      <c r="K36" s="4">
        <v>0</v>
      </c>
      <c r="L36" s="4">
        <v>0</v>
      </c>
      <c r="M36" s="4">
        <v>0</v>
      </c>
      <c r="N36" s="4">
        <f t="shared" si="7"/>
        <v>10.096303561840775</v>
      </c>
      <c r="O36" s="4">
        <f t="shared" si="7"/>
        <v>1.2833786005107448</v>
      </c>
    </row>
    <row r="37" spans="9:15" x14ac:dyDescent="0.2">
      <c r="I37" t="s">
        <v>32</v>
      </c>
      <c r="J37" s="2"/>
      <c r="K37" s="4">
        <v>0</v>
      </c>
      <c r="L37" s="4">
        <v>0</v>
      </c>
      <c r="M37" s="4">
        <v>0</v>
      </c>
      <c r="N37" s="4">
        <f t="shared" si="7"/>
        <v>3.1342679399761604</v>
      </c>
      <c r="O37" s="4">
        <f t="shared" si="7"/>
        <v>0.38342972632166777</v>
      </c>
    </row>
    <row r="38" spans="9:15" x14ac:dyDescent="0.2">
      <c r="K38" s="4"/>
      <c r="L38" s="4"/>
      <c r="M38" s="4"/>
      <c r="N38" s="4"/>
      <c r="O38" s="4"/>
    </row>
    <row r="39" spans="9:15" x14ac:dyDescent="0.2">
      <c r="J39" s="2"/>
      <c r="K39" s="2"/>
      <c r="L39" s="2"/>
      <c r="M39" s="2"/>
      <c r="N39" s="2"/>
      <c r="O39" s="2"/>
    </row>
    <row r="40" spans="9:15" x14ac:dyDescent="0.2">
      <c r="J40" s="2"/>
      <c r="K40" s="2"/>
      <c r="L40" s="2"/>
      <c r="M40" s="2"/>
      <c r="N40" s="2"/>
      <c r="O40" s="2"/>
    </row>
    <row r="41" spans="9:15" x14ac:dyDescent="0.2">
      <c r="J41" s="2"/>
      <c r="K41" s="2"/>
      <c r="L41" s="2"/>
      <c r="M41" s="2"/>
      <c r="N41" s="2"/>
      <c r="O41" s="2"/>
    </row>
    <row r="42" spans="9:15" x14ac:dyDescent="0.2">
      <c r="J4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סביבה דיאכרוני</vt:lpstr>
      <vt:lpstr>סביבה קולוקציה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Shafer-raviv Omri</dc:creator>
  <cp:lastModifiedBy>Shafer-raviv Omri</cp:lastModifiedBy>
  <dcterms:created xsi:type="dcterms:W3CDTF">2025-01-22T07:56:31Z</dcterms:created>
  <dcterms:modified xsi:type="dcterms:W3CDTF">2025-02-17T08:43:41Z</dcterms:modified>
</cp:coreProperties>
</file>